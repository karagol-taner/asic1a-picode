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bignucolo/data/hASIC1a/pka/material_4paper/versions_up240616/"/>
    </mc:Choice>
  </mc:AlternateContent>
  <xr:revisionPtr revIDLastSave="0" documentId="13_ncr:1_{2CF7A61D-4819-EC40-A0E1-559C16D68282}" xr6:coauthVersionLast="47" xr6:coauthVersionMax="47" xr10:uidLastSave="{00000000-0000-0000-0000-000000000000}"/>
  <bookViews>
    <workbookView xWindow="260" yWindow="1520" windowWidth="23220" windowHeight="16200" activeTab="5" xr2:uid="{B19C71FF-9DE0-6943-8F9A-BE6820139F25}"/>
  </bookViews>
  <sheets>
    <sheet name="E418_des" sheetId="30" r:id="rId1"/>
    <sheet name="E418_act" sheetId="29" r:id="rId2"/>
    <sheet name="E413_des" sheetId="20" r:id="rId3"/>
    <sheet name="E413_act" sheetId="19" r:id="rId4"/>
    <sheet name="K388_des" sheetId="38" r:id="rId5"/>
    <sheet name="K388_act" sheetId="39" r:id="rId6"/>
    <sheet name="K384_des" sheetId="32" r:id="rId7"/>
    <sheet name="K384_act" sheetId="31" r:id="rId8"/>
    <sheet name="E375_des" sheetId="18" r:id="rId9"/>
    <sheet name="E375_act" sheetId="17" r:id="rId10"/>
    <sheet name="K374_des" sheetId="16" r:id="rId11"/>
    <sheet name="K374_act" sheetId="15" r:id="rId12"/>
    <sheet name="H329_des" sheetId="28" r:id="rId13"/>
    <sheet name="H329_act" sheetId="27" r:id="rId14"/>
    <sheet name="K291_des" sheetId="34" r:id="rId15"/>
    <sheet name="K291_act" sheetId="33" r:id="rId16"/>
    <sheet name="K246_des" sheetId="24" r:id="rId17"/>
    <sheet name="K246_act" sheetId="23" r:id="rId18"/>
    <sheet name="E242_des" sheetId="26" r:id="rId19"/>
    <sheet name="E242_act" sheetId="25" r:id="rId20"/>
    <sheet name="E219_des" sheetId="37" r:id="rId21"/>
    <sheet name="E219_act" sheetId="42" r:id="rId22"/>
    <sheet name="K211_des" sheetId="22" r:id="rId23"/>
    <sheet name="K211_act" sheetId="21" r:id="rId24"/>
    <sheet name="H173_des" sheetId="40" r:id="rId25"/>
    <sheet name="H173_act" sheetId="41" r:id="rId26"/>
    <sheet name="D78_des" sheetId="14" r:id="rId27"/>
    <sheet name="D78_act" sheetId="13" r:id="rId28"/>
    <sheet name="H73_des" sheetId="5" r:id="rId29"/>
    <sheet name="H73_act" sheetId="4" r:id="rId30"/>
    <sheet name="flxb" sheetId="6" r:id="rId31"/>
    <sheet name="size" sheetId="2" r:id="rId32"/>
    <sheet name="kd" sheetId="3" r:id="rId33"/>
    <sheet name="pol" sheetId="7" r:id="rId34"/>
    <sheet name="alpha_hx" sheetId="8" r:id="rId35"/>
    <sheet name="bulky" sheetId="9" r:id="rId36"/>
    <sheet name="surf" sheetId="11" r:id="rId37"/>
    <sheet name="beta" sheetId="12" r:id="rId38"/>
    <sheet name="b_turn" sheetId="43" r:id="rId39"/>
    <sheet name="coil" sheetId="44" r:id="rId40"/>
    <sheet name="h_do" sheetId="35" r:id="rId41"/>
    <sheet name="h_ac" sheetId="36" r:id="rId42"/>
  </sheets>
  <definedNames>
    <definedName name="_xlnm.Print_Area" localSheetId="16">K246_des!$A$1:$O$40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9" l="1"/>
  <c r="B26" i="38"/>
  <c r="B26" i="19"/>
  <c r="B26" i="20"/>
  <c r="B26" i="4"/>
  <c r="B26" i="5"/>
  <c r="B26" i="13"/>
  <c r="B26" i="14"/>
  <c r="B26" i="41"/>
  <c r="B26" i="40"/>
  <c r="B26" i="21"/>
  <c r="B26" i="22"/>
  <c r="B26" i="42"/>
  <c r="B26" i="37"/>
  <c r="B26" i="25"/>
  <c r="B26" i="26"/>
  <c r="B26" i="23"/>
  <c r="B26" i="24"/>
  <c r="B26" i="33"/>
  <c r="B26" i="34"/>
  <c r="B26" i="27"/>
  <c r="B26" i="28"/>
  <c r="B26" i="15"/>
  <c r="B26" i="17"/>
  <c r="B26" i="31"/>
  <c r="B26" i="29"/>
  <c r="B26" i="30"/>
  <c r="N22" i="4"/>
  <c r="N23" i="4" s="1"/>
  <c r="M22" i="4"/>
  <c r="M23" i="4" s="1"/>
  <c r="N9" i="4"/>
  <c r="M9" i="4"/>
  <c r="N8" i="4"/>
  <c r="M8" i="4"/>
  <c r="N7" i="4"/>
  <c r="M7" i="4"/>
  <c r="N6" i="4"/>
  <c r="M6" i="4"/>
  <c r="N5" i="4"/>
  <c r="M5" i="4"/>
  <c r="N4" i="4"/>
  <c r="N21" i="4" s="1"/>
  <c r="M4" i="4"/>
  <c r="N3" i="4"/>
  <c r="M3" i="4"/>
  <c r="N2" i="4"/>
  <c r="N16" i="4" s="1"/>
  <c r="M2" i="4"/>
  <c r="M24" i="4" s="1"/>
  <c r="M25" i="4" s="1"/>
  <c r="N22" i="5"/>
  <c r="N23" i="5" s="1"/>
  <c r="M22" i="5"/>
  <c r="M23" i="5" s="1"/>
  <c r="N18" i="5"/>
  <c r="M18" i="5"/>
  <c r="N9" i="5"/>
  <c r="M9" i="5"/>
  <c r="N8" i="5"/>
  <c r="M8" i="5"/>
  <c r="N7" i="5"/>
  <c r="M7" i="5"/>
  <c r="N6" i="5"/>
  <c r="M6" i="5"/>
  <c r="N5" i="5"/>
  <c r="M5" i="5"/>
  <c r="N4" i="5"/>
  <c r="N19" i="5" s="1"/>
  <c r="M4" i="5"/>
  <c r="M20" i="5" s="1"/>
  <c r="N3" i="5"/>
  <c r="M3" i="5"/>
  <c r="N2" i="5"/>
  <c r="N16" i="5" s="1"/>
  <c r="M2" i="5"/>
  <c r="M16" i="5" s="1"/>
  <c r="N22" i="13"/>
  <c r="N23" i="13" s="1"/>
  <c r="M22" i="13"/>
  <c r="M23" i="13" s="1"/>
  <c r="N9" i="13"/>
  <c r="M9" i="13"/>
  <c r="N8" i="13"/>
  <c r="M8" i="13"/>
  <c r="N7" i="13"/>
  <c r="M7" i="13"/>
  <c r="N6" i="13"/>
  <c r="M6" i="13"/>
  <c r="N5" i="13"/>
  <c r="M5" i="13"/>
  <c r="N4" i="13"/>
  <c r="N21" i="13" s="1"/>
  <c r="M4" i="13"/>
  <c r="N3" i="13"/>
  <c r="M3" i="13"/>
  <c r="N2" i="13"/>
  <c r="N16" i="13" s="1"/>
  <c r="M2" i="13"/>
  <c r="M16" i="13" s="1"/>
  <c r="N22" i="14"/>
  <c r="N23" i="14" s="1"/>
  <c r="M22" i="14"/>
  <c r="M23" i="14" s="1"/>
  <c r="N9" i="14"/>
  <c r="M9" i="14"/>
  <c r="N8" i="14"/>
  <c r="M8" i="14"/>
  <c r="N7" i="14"/>
  <c r="M7" i="14"/>
  <c r="N6" i="14"/>
  <c r="M6" i="14"/>
  <c r="N5" i="14"/>
  <c r="M5" i="14"/>
  <c r="N4" i="14"/>
  <c r="N24" i="14" s="1"/>
  <c r="N25" i="14" s="1"/>
  <c r="M4" i="14"/>
  <c r="M21" i="14" s="1"/>
  <c r="N3" i="14"/>
  <c r="M3" i="14"/>
  <c r="N2" i="14"/>
  <c r="N16" i="14" s="1"/>
  <c r="M2" i="14"/>
  <c r="M16" i="14" s="1"/>
  <c r="M23" i="41"/>
  <c r="N22" i="41"/>
  <c r="N23" i="41" s="1"/>
  <c r="M22" i="41"/>
  <c r="N18" i="41"/>
  <c r="M18" i="41"/>
  <c r="N9" i="41"/>
  <c r="M9" i="41"/>
  <c r="N8" i="41"/>
  <c r="M8" i="41"/>
  <c r="N7" i="41"/>
  <c r="M7" i="41"/>
  <c r="N6" i="41"/>
  <c r="M6" i="41"/>
  <c r="N5" i="41"/>
  <c r="M5" i="41"/>
  <c r="N4" i="41"/>
  <c r="N24" i="41" s="1"/>
  <c r="N25" i="41" s="1"/>
  <c r="M4" i="41"/>
  <c r="M20" i="41" s="1"/>
  <c r="N3" i="41"/>
  <c r="M3" i="41"/>
  <c r="N2" i="41"/>
  <c r="N16" i="41" s="1"/>
  <c r="M2" i="41"/>
  <c r="M16" i="41" s="1"/>
  <c r="N22" i="40"/>
  <c r="N23" i="40" s="1"/>
  <c r="M22" i="40"/>
  <c r="M23" i="40" s="1"/>
  <c r="N9" i="40"/>
  <c r="M9" i="40"/>
  <c r="N8" i="40"/>
  <c r="M8" i="40"/>
  <c r="N7" i="40"/>
  <c r="M7" i="40"/>
  <c r="N6" i="40"/>
  <c r="M6" i="40"/>
  <c r="N5" i="40"/>
  <c r="M5" i="40"/>
  <c r="N4" i="40"/>
  <c r="N19" i="40" s="1"/>
  <c r="M4" i="40"/>
  <c r="M19" i="40" s="1"/>
  <c r="N3" i="40"/>
  <c r="M3" i="40"/>
  <c r="M21" i="40" s="1"/>
  <c r="N2" i="40"/>
  <c r="N16" i="40" s="1"/>
  <c r="M2" i="40"/>
  <c r="M16" i="40" s="1"/>
  <c r="N22" i="21"/>
  <c r="N23" i="21" s="1"/>
  <c r="M22" i="21"/>
  <c r="M23" i="21" s="1"/>
  <c r="N18" i="21"/>
  <c r="M18" i="21"/>
  <c r="N9" i="21"/>
  <c r="M9" i="21"/>
  <c r="N8" i="21"/>
  <c r="M8" i="21"/>
  <c r="N7" i="21"/>
  <c r="M7" i="21"/>
  <c r="N6" i="21"/>
  <c r="M6" i="21"/>
  <c r="N5" i="21"/>
  <c r="M5" i="21"/>
  <c r="N4" i="21"/>
  <c r="N21" i="21" s="1"/>
  <c r="M4" i="21"/>
  <c r="M21" i="21" s="1"/>
  <c r="N3" i="21"/>
  <c r="M3" i="21"/>
  <c r="N2" i="21"/>
  <c r="N16" i="21" s="1"/>
  <c r="M2" i="21"/>
  <c r="M16" i="21" s="1"/>
  <c r="N22" i="22"/>
  <c r="N23" i="22" s="1"/>
  <c r="M22" i="22"/>
  <c r="M23" i="22" s="1"/>
  <c r="M18" i="22"/>
  <c r="N9" i="22"/>
  <c r="M9" i="22"/>
  <c r="N8" i="22"/>
  <c r="M8" i="22"/>
  <c r="N7" i="22"/>
  <c r="M7" i="22"/>
  <c r="N6" i="22"/>
  <c r="M6" i="22"/>
  <c r="N5" i="22"/>
  <c r="M5" i="22"/>
  <c r="N4" i="22"/>
  <c r="N18" i="22" s="1"/>
  <c r="M4" i="22"/>
  <c r="N3" i="22"/>
  <c r="N16" i="22" s="1"/>
  <c r="M3" i="22"/>
  <c r="M16" i="22" s="1"/>
  <c r="N2" i="22"/>
  <c r="N24" i="22" s="1"/>
  <c r="M2" i="22"/>
  <c r="M24" i="22" s="1"/>
  <c r="M25" i="22" s="1"/>
  <c r="N22" i="42"/>
  <c r="N23" i="42" s="1"/>
  <c r="M22" i="42"/>
  <c r="M23" i="42" s="1"/>
  <c r="N9" i="42"/>
  <c r="M9" i="42"/>
  <c r="N8" i="42"/>
  <c r="M8" i="42"/>
  <c r="N7" i="42"/>
  <c r="M7" i="42"/>
  <c r="N6" i="42"/>
  <c r="M6" i="42"/>
  <c r="N5" i="42"/>
  <c r="M5" i="42"/>
  <c r="N4" i="42"/>
  <c r="N24" i="42" s="1"/>
  <c r="N25" i="42" s="1"/>
  <c r="M4" i="42"/>
  <c r="M21" i="42" s="1"/>
  <c r="N3" i="42"/>
  <c r="M3" i="42"/>
  <c r="N2" i="42"/>
  <c r="N16" i="42" s="1"/>
  <c r="M2" i="42"/>
  <c r="M16" i="42" s="1"/>
  <c r="N22" i="37"/>
  <c r="N23" i="37" s="1"/>
  <c r="M22" i="37"/>
  <c r="M23" i="37" s="1"/>
  <c r="N9" i="37"/>
  <c r="M9" i="37"/>
  <c r="N8" i="37"/>
  <c r="M8" i="37"/>
  <c r="N7" i="37"/>
  <c r="M7" i="37"/>
  <c r="N6" i="37"/>
  <c r="M6" i="37"/>
  <c r="N5" i="37"/>
  <c r="M5" i="37"/>
  <c r="N4" i="37"/>
  <c r="N20" i="37" s="1"/>
  <c r="M4" i="37"/>
  <c r="M21" i="37" s="1"/>
  <c r="N3" i="37"/>
  <c r="N16" i="37" s="1"/>
  <c r="M3" i="37"/>
  <c r="N2" i="37"/>
  <c r="N24" i="37" s="1"/>
  <c r="N25" i="37" s="1"/>
  <c r="M2" i="37"/>
  <c r="M16" i="37" s="1"/>
  <c r="N22" i="25"/>
  <c r="N23" i="25" s="1"/>
  <c r="M22" i="25"/>
  <c r="M23" i="25" s="1"/>
  <c r="M18" i="25"/>
  <c r="N9" i="25"/>
  <c r="M9" i="25"/>
  <c r="N8" i="25"/>
  <c r="M8" i="25"/>
  <c r="N7" i="25"/>
  <c r="M7" i="25"/>
  <c r="N6" i="25"/>
  <c r="M6" i="25"/>
  <c r="N5" i="25"/>
  <c r="M5" i="25"/>
  <c r="N4" i="25"/>
  <c r="N18" i="25" s="1"/>
  <c r="M4" i="25"/>
  <c r="M21" i="25" s="1"/>
  <c r="N3" i="25"/>
  <c r="M3" i="25"/>
  <c r="N2" i="25"/>
  <c r="N16" i="25" s="1"/>
  <c r="M2" i="25"/>
  <c r="M16" i="25" s="1"/>
  <c r="N22" i="26"/>
  <c r="N23" i="26" s="1"/>
  <c r="M22" i="26"/>
  <c r="M23" i="26" s="1"/>
  <c r="N18" i="26"/>
  <c r="N9" i="26"/>
  <c r="M9" i="26"/>
  <c r="N8" i="26"/>
  <c r="M8" i="26"/>
  <c r="N7" i="26"/>
  <c r="M7" i="26"/>
  <c r="N6" i="26"/>
  <c r="M6" i="26"/>
  <c r="N5" i="26"/>
  <c r="M5" i="26"/>
  <c r="M18" i="26" s="1"/>
  <c r="N4" i="26"/>
  <c r="N21" i="26" s="1"/>
  <c r="M4" i="26"/>
  <c r="M21" i="26" s="1"/>
  <c r="N3" i="26"/>
  <c r="M3" i="26"/>
  <c r="N2" i="26"/>
  <c r="N16" i="26" s="1"/>
  <c r="M2" i="26"/>
  <c r="M16" i="26" s="1"/>
  <c r="N9" i="16"/>
  <c r="M9" i="16"/>
  <c r="N8" i="16"/>
  <c r="M8" i="16"/>
  <c r="N7" i="16"/>
  <c r="M7" i="16"/>
  <c r="N6" i="16"/>
  <c r="M6" i="16"/>
  <c r="N5" i="16"/>
  <c r="M5" i="16"/>
  <c r="N4" i="16"/>
  <c r="M4" i="16"/>
  <c r="N3" i="16"/>
  <c r="N16" i="16" s="1"/>
  <c r="M3" i="16"/>
  <c r="M16" i="16" s="1"/>
  <c r="N2" i="16"/>
  <c r="M2" i="16"/>
  <c r="N23" i="15"/>
  <c r="N22" i="15"/>
  <c r="M22" i="15"/>
  <c r="M23" i="15" s="1"/>
  <c r="N9" i="15"/>
  <c r="M9" i="15"/>
  <c r="N8" i="15"/>
  <c r="M8" i="15"/>
  <c r="N7" i="15"/>
  <c r="M7" i="15"/>
  <c r="N6" i="15"/>
  <c r="M6" i="15"/>
  <c r="N5" i="15"/>
  <c r="M5" i="15"/>
  <c r="M18" i="15" s="1"/>
  <c r="N4" i="15"/>
  <c r="N20" i="15" s="1"/>
  <c r="M4" i="15"/>
  <c r="M20" i="15" s="1"/>
  <c r="N3" i="15"/>
  <c r="M3" i="15"/>
  <c r="N2" i="15"/>
  <c r="N16" i="15" s="1"/>
  <c r="M2" i="15"/>
  <c r="M16" i="15" s="1"/>
  <c r="N22" i="28"/>
  <c r="N23" i="28" s="1"/>
  <c r="M22" i="28"/>
  <c r="M23" i="28" s="1"/>
  <c r="N9" i="28"/>
  <c r="M9" i="28"/>
  <c r="N8" i="28"/>
  <c r="M8" i="28"/>
  <c r="N7" i="28"/>
  <c r="M7" i="28"/>
  <c r="N6" i="28"/>
  <c r="M6" i="28"/>
  <c r="N5" i="28"/>
  <c r="M5" i="28"/>
  <c r="N4" i="28"/>
  <c r="N19" i="28" s="1"/>
  <c r="M4" i="28"/>
  <c r="M19" i="28" s="1"/>
  <c r="N3" i="28"/>
  <c r="N16" i="28" s="1"/>
  <c r="M3" i="28"/>
  <c r="M16" i="28" s="1"/>
  <c r="N2" i="28"/>
  <c r="N24" i="28" s="1"/>
  <c r="N25" i="28" s="1"/>
  <c r="M2" i="28"/>
  <c r="M24" i="28" s="1"/>
  <c r="M25" i="28" s="1"/>
  <c r="N23" i="27"/>
  <c r="N22" i="27"/>
  <c r="M22" i="27"/>
  <c r="M23" i="27" s="1"/>
  <c r="M18" i="27"/>
  <c r="N9" i="27"/>
  <c r="M9" i="27"/>
  <c r="N8" i="27"/>
  <c r="M8" i="27"/>
  <c r="N7" i="27"/>
  <c r="M7" i="27"/>
  <c r="N6" i="27"/>
  <c r="M6" i="27"/>
  <c r="N5" i="27"/>
  <c r="M5" i="27"/>
  <c r="N4" i="27"/>
  <c r="N24" i="27" s="1"/>
  <c r="N25" i="27" s="1"/>
  <c r="M4" i="27"/>
  <c r="M20" i="27" s="1"/>
  <c r="N3" i="27"/>
  <c r="M3" i="27"/>
  <c r="N2" i="27"/>
  <c r="N16" i="27" s="1"/>
  <c r="M2" i="27"/>
  <c r="M15" i="27" s="1"/>
  <c r="N22" i="23"/>
  <c r="N23" i="23" s="1"/>
  <c r="M22" i="23"/>
  <c r="M23" i="23" s="1"/>
  <c r="N9" i="23"/>
  <c r="M9" i="23"/>
  <c r="N8" i="23"/>
  <c r="M8" i="23"/>
  <c r="N7" i="23"/>
  <c r="M7" i="23"/>
  <c r="N6" i="23"/>
  <c r="M6" i="23"/>
  <c r="N5" i="23"/>
  <c r="M5" i="23"/>
  <c r="N4" i="23"/>
  <c r="N21" i="23" s="1"/>
  <c r="M4" i="23"/>
  <c r="M20" i="23" s="1"/>
  <c r="N3" i="23"/>
  <c r="M3" i="23"/>
  <c r="N2" i="23"/>
  <c r="N16" i="23" s="1"/>
  <c r="M2" i="23"/>
  <c r="M16" i="23" s="1"/>
  <c r="N9" i="24"/>
  <c r="M9" i="24"/>
  <c r="N22" i="24"/>
  <c r="N23" i="24" s="1"/>
  <c r="M22" i="24"/>
  <c r="M23" i="24" s="1"/>
  <c r="N8" i="24"/>
  <c r="M8" i="24"/>
  <c r="N7" i="24"/>
  <c r="M7" i="24"/>
  <c r="N6" i="24"/>
  <c r="M6" i="24"/>
  <c r="N5" i="24"/>
  <c r="M5" i="24"/>
  <c r="N4" i="24"/>
  <c r="M4" i="24"/>
  <c r="M18" i="24" s="1"/>
  <c r="N3" i="24"/>
  <c r="M3" i="24"/>
  <c r="M21" i="24" s="1"/>
  <c r="N2" i="24"/>
  <c r="M2" i="24"/>
  <c r="N22" i="33"/>
  <c r="N23" i="33" s="1"/>
  <c r="M22" i="33"/>
  <c r="M23" i="33" s="1"/>
  <c r="N18" i="33"/>
  <c r="N8" i="33"/>
  <c r="M8" i="33"/>
  <c r="N7" i="33"/>
  <c r="M7" i="33"/>
  <c r="N6" i="33"/>
  <c r="M6" i="33"/>
  <c r="N5" i="33"/>
  <c r="M5" i="33"/>
  <c r="N4" i="33"/>
  <c r="M4" i="33"/>
  <c r="M18" i="33" s="1"/>
  <c r="N3" i="33"/>
  <c r="N19" i="33" s="1"/>
  <c r="M3" i="33"/>
  <c r="M19" i="33" s="1"/>
  <c r="N2" i="33"/>
  <c r="N16" i="33" s="1"/>
  <c r="M2" i="33"/>
  <c r="M16" i="33" s="1"/>
  <c r="N22" i="34"/>
  <c r="N23" i="34" s="1"/>
  <c r="M22" i="34"/>
  <c r="M23" i="34" s="1"/>
  <c r="N18" i="34"/>
  <c r="N8" i="34"/>
  <c r="M8" i="34"/>
  <c r="N7" i="34"/>
  <c r="M7" i="34"/>
  <c r="N6" i="34"/>
  <c r="M6" i="34"/>
  <c r="N5" i="34"/>
  <c r="M5" i="34"/>
  <c r="N4" i="34"/>
  <c r="M4" i="34"/>
  <c r="N3" i="34"/>
  <c r="N24" i="34" s="1"/>
  <c r="N25" i="34" s="1"/>
  <c r="M3" i="34"/>
  <c r="M18" i="34" s="1"/>
  <c r="N2" i="34"/>
  <c r="N16" i="34" s="1"/>
  <c r="M2" i="34"/>
  <c r="M16" i="34" s="1"/>
  <c r="N22" i="17"/>
  <c r="N23" i="17" s="1"/>
  <c r="M22" i="17"/>
  <c r="M23" i="17" s="1"/>
  <c r="N8" i="17"/>
  <c r="M8" i="17"/>
  <c r="N7" i="17"/>
  <c r="M7" i="17"/>
  <c r="N6" i="17"/>
  <c r="M6" i="17"/>
  <c r="N5" i="17"/>
  <c r="M5" i="17"/>
  <c r="N4" i="17"/>
  <c r="M4" i="17"/>
  <c r="N3" i="17"/>
  <c r="N19" i="17" s="1"/>
  <c r="M3" i="17"/>
  <c r="M21" i="17" s="1"/>
  <c r="N2" i="17"/>
  <c r="N16" i="17" s="1"/>
  <c r="M2" i="17"/>
  <c r="M16" i="17" s="1"/>
  <c r="N8" i="18"/>
  <c r="M8" i="18"/>
  <c r="N7" i="18"/>
  <c r="M7" i="18"/>
  <c r="N6" i="18"/>
  <c r="M6" i="18"/>
  <c r="N5" i="18"/>
  <c r="M5" i="18"/>
  <c r="N4" i="18"/>
  <c r="M4" i="18"/>
  <c r="N3" i="18"/>
  <c r="M3" i="18"/>
  <c r="N2" i="18"/>
  <c r="N16" i="18" s="1"/>
  <c r="M2" i="18"/>
  <c r="M16" i="18" s="1"/>
  <c r="M23" i="31"/>
  <c r="N22" i="31"/>
  <c r="N23" i="31" s="1"/>
  <c r="M22" i="31"/>
  <c r="N8" i="31"/>
  <c r="M8" i="31"/>
  <c r="N7" i="31"/>
  <c r="M7" i="31"/>
  <c r="N6" i="31"/>
  <c r="M6" i="31"/>
  <c r="N5" i="31"/>
  <c r="M5" i="31"/>
  <c r="N4" i="31"/>
  <c r="M4" i="31"/>
  <c r="N3" i="31"/>
  <c r="N15" i="31" s="1"/>
  <c r="M3" i="31"/>
  <c r="M24" i="31" s="1"/>
  <c r="M25" i="31" s="1"/>
  <c r="N2" i="31"/>
  <c r="N16" i="31" s="1"/>
  <c r="M2" i="31"/>
  <c r="M16" i="31" s="1"/>
  <c r="N8" i="32"/>
  <c r="N7" i="32"/>
  <c r="M8" i="32"/>
  <c r="M7" i="32"/>
  <c r="N6" i="32"/>
  <c r="M6" i="32"/>
  <c r="N5" i="32"/>
  <c r="M5" i="32"/>
  <c r="N4" i="32"/>
  <c r="M4" i="32"/>
  <c r="N3" i="32"/>
  <c r="M3" i="32"/>
  <c r="N2" i="32"/>
  <c r="N16" i="32" s="1"/>
  <c r="M2" i="32"/>
  <c r="N22" i="39"/>
  <c r="N23" i="39" s="1"/>
  <c r="M22" i="39"/>
  <c r="M23" i="39" s="1"/>
  <c r="M18" i="39"/>
  <c r="N6" i="39"/>
  <c r="M6" i="39"/>
  <c r="N5" i="39"/>
  <c r="M5" i="39"/>
  <c r="N4" i="39"/>
  <c r="M4" i="39"/>
  <c r="N3" i="39"/>
  <c r="N18" i="39" s="1"/>
  <c r="M3" i="39"/>
  <c r="M15" i="39" s="1"/>
  <c r="N2" i="39"/>
  <c r="N16" i="39" s="1"/>
  <c r="M2" i="39"/>
  <c r="M16" i="39" s="1"/>
  <c r="N8" i="19"/>
  <c r="M8" i="19"/>
  <c r="N7" i="19"/>
  <c r="M7" i="19"/>
  <c r="N6" i="19"/>
  <c r="M6" i="19"/>
  <c r="N5" i="19"/>
  <c r="M5" i="19"/>
  <c r="N4" i="19"/>
  <c r="M4" i="19"/>
  <c r="N3" i="19"/>
  <c r="M3" i="19"/>
  <c r="N2" i="19"/>
  <c r="M2" i="19"/>
  <c r="M21" i="19" s="1"/>
  <c r="N8" i="20"/>
  <c r="M8" i="20"/>
  <c r="N6" i="38"/>
  <c r="M6" i="38"/>
  <c r="N5" i="38"/>
  <c r="M5" i="38"/>
  <c r="N4" i="38"/>
  <c r="M4" i="38"/>
  <c r="N3" i="38"/>
  <c r="M3" i="38"/>
  <c r="N2" i="38"/>
  <c r="N16" i="38" s="1"/>
  <c r="M2" i="38"/>
  <c r="M15" i="38" s="1"/>
  <c r="N22" i="19"/>
  <c r="N23" i="19" s="1"/>
  <c r="M22" i="19"/>
  <c r="M23" i="19" s="1"/>
  <c r="N18" i="19"/>
  <c r="N16" i="19"/>
  <c r="N7" i="20"/>
  <c r="M7" i="20"/>
  <c r="N6" i="20"/>
  <c r="M6" i="20"/>
  <c r="N5" i="20"/>
  <c r="M5" i="20"/>
  <c r="N4" i="20"/>
  <c r="M4" i="20"/>
  <c r="N3" i="20"/>
  <c r="M3" i="20"/>
  <c r="N2" i="20"/>
  <c r="N16" i="20" s="1"/>
  <c r="M2" i="20"/>
  <c r="N22" i="29"/>
  <c r="N23" i="29" s="1"/>
  <c r="M22" i="29"/>
  <c r="M23" i="29" s="1"/>
  <c r="N16" i="29"/>
  <c r="N7" i="29"/>
  <c r="M7" i="29"/>
  <c r="N6" i="29"/>
  <c r="M6" i="29"/>
  <c r="N5" i="29"/>
  <c r="M5" i="29"/>
  <c r="N4" i="29"/>
  <c r="M4" i="29"/>
  <c r="N3" i="29"/>
  <c r="M3" i="29"/>
  <c r="N2" i="29"/>
  <c r="N24" i="29" s="1"/>
  <c r="N25" i="29" s="1"/>
  <c r="M2" i="29"/>
  <c r="M16" i="29" s="1"/>
  <c r="N7" i="30"/>
  <c r="N6" i="30"/>
  <c r="N5" i="30"/>
  <c r="N19" i="30" s="1"/>
  <c r="N4" i="30"/>
  <c r="N3" i="30"/>
  <c r="N24" i="30" s="1"/>
  <c r="N22" i="30"/>
  <c r="N23" i="30" s="1"/>
  <c r="N2" i="30"/>
  <c r="M7" i="30"/>
  <c r="M6" i="30"/>
  <c r="M5" i="30"/>
  <c r="M4" i="30"/>
  <c r="M3" i="30"/>
  <c r="M18" i="30" s="1"/>
  <c r="M2" i="30"/>
  <c r="M22" i="30"/>
  <c r="M23" i="30" s="1"/>
  <c r="B24" i="44"/>
  <c r="B23" i="44"/>
  <c r="B24" i="43"/>
  <c r="B23" i="43"/>
  <c r="C7" i="42"/>
  <c r="D7" i="42"/>
  <c r="E7" i="42"/>
  <c r="F7" i="42"/>
  <c r="G7" i="42"/>
  <c r="H7" i="42"/>
  <c r="I7" i="42"/>
  <c r="J7" i="42"/>
  <c r="K7" i="42"/>
  <c r="L7" i="42"/>
  <c r="M16" i="4" l="1"/>
  <c r="M21" i="4"/>
  <c r="M21" i="13"/>
  <c r="M18" i="4"/>
  <c r="N18" i="4"/>
  <c r="M19" i="4"/>
  <c r="N19" i="4"/>
  <c r="M20" i="4"/>
  <c r="N20" i="4"/>
  <c r="M15" i="4"/>
  <c r="N15" i="4"/>
  <c r="N24" i="4"/>
  <c r="N25" i="4" s="1"/>
  <c r="M19" i="5"/>
  <c r="N20" i="5"/>
  <c r="M21" i="5"/>
  <c r="N21" i="5"/>
  <c r="M15" i="5"/>
  <c r="M24" i="5"/>
  <c r="M25" i="5" s="1"/>
  <c r="N15" i="5"/>
  <c r="N24" i="5"/>
  <c r="N25" i="5" s="1"/>
  <c r="M18" i="13"/>
  <c r="N18" i="13"/>
  <c r="M19" i="13"/>
  <c r="N19" i="13"/>
  <c r="M20" i="13"/>
  <c r="N20" i="13"/>
  <c r="M15" i="13"/>
  <c r="M24" i="13"/>
  <c r="M25" i="13" s="1"/>
  <c r="N15" i="13"/>
  <c r="N24" i="13"/>
  <c r="N25" i="13" s="1"/>
  <c r="M18" i="14"/>
  <c r="N18" i="14"/>
  <c r="M19" i="14"/>
  <c r="N19" i="14"/>
  <c r="M20" i="14"/>
  <c r="N20" i="14"/>
  <c r="N21" i="14"/>
  <c r="M15" i="14"/>
  <c r="M24" i="14"/>
  <c r="M25" i="14" s="1"/>
  <c r="N15" i="14"/>
  <c r="N21" i="41"/>
  <c r="N20" i="41"/>
  <c r="N19" i="41"/>
  <c r="M15" i="41"/>
  <c r="M24" i="41"/>
  <c r="M25" i="41" s="1"/>
  <c r="M19" i="41"/>
  <c r="M21" i="41"/>
  <c r="N15" i="41"/>
  <c r="M18" i="40"/>
  <c r="N18" i="40"/>
  <c r="M20" i="40"/>
  <c r="N21" i="40"/>
  <c r="N20" i="40"/>
  <c r="M15" i="40"/>
  <c r="M24" i="40"/>
  <c r="M25" i="40" s="1"/>
  <c r="N24" i="40"/>
  <c r="N25" i="40" s="1"/>
  <c r="N15" i="40"/>
  <c r="M19" i="21"/>
  <c r="N19" i="21"/>
  <c r="M20" i="21"/>
  <c r="N20" i="21"/>
  <c r="M15" i="21"/>
  <c r="M24" i="21"/>
  <c r="M25" i="21" s="1"/>
  <c r="N15" i="21"/>
  <c r="N24" i="21"/>
  <c r="N25" i="21" s="1"/>
  <c r="N25" i="22"/>
  <c r="M19" i="22"/>
  <c r="N19" i="22"/>
  <c r="M20" i="22"/>
  <c r="N20" i="22"/>
  <c r="N21" i="22"/>
  <c r="M21" i="22"/>
  <c r="M15" i="22"/>
  <c r="N15" i="22"/>
  <c r="M18" i="42"/>
  <c r="N18" i="42"/>
  <c r="M19" i="42"/>
  <c r="N19" i="42"/>
  <c r="M20" i="42"/>
  <c r="N20" i="42"/>
  <c r="M15" i="42"/>
  <c r="M24" i="42"/>
  <c r="M25" i="42" s="1"/>
  <c r="N21" i="42"/>
  <c r="N15" i="42"/>
  <c r="M18" i="37"/>
  <c r="N18" i="37"/>
  <c r="M19" i="37"/>
  <c r="N19" i="37"/>
  <c r="M20" i="37"/>
  <c r="N21" i="37"/>
  <c r="M15" i="37"/>
  <c r="M24" i="37"/>
  <c r="M25" i="37" s="1"/>
  <c r="N15" i="37"/>
  <c r="M19" i="25"/>
  <c r="N19" i="25"/>
  <c r="M20" i="25"/>
  <c r="N20" i="25"/>
  <c r="N21" i="25"/>
  <c r="M15" i="25"/>
  <c r="M24" i="25"/>
  <c r="M25" i="25" s="1"/>
  <c r="N15" i="25"/>
  <c r="N24" i="25"/>
  <c r="N25" i="25" s="1"/>
  <c r="M19" i="26"/>
  <c r="N19" i="26"/>
  <c r="M20" i="26"/>
  <c r="N20" i="26"/>
  <c r="M15" i="26"/>
  <c r="M24" i="26"/>
  <c r="M25" i="26" s="1"/>
  <c r="N15" i="26"/>
  <c r="N24" i="26"/>
  <c r="N25" i="26" s="1"/>
  <c r="N18" i="16"/>
  <c r="M19" i="16"/>
  <c r="M20" i="16"/>
  <c r="N20" i="16"/>
  <c r="M21" i="16"/>
  <c r="N21" i="16"/>
  <c r="M15" i="16"/>
  <c r="N15" i="16"/>
  <c r="N19" i="15"/>
  <c r="M19" i="15"/>
  <c r="N18" i="15"/>
  <c r="N21" i="15"/>
  <c r="M21" i="15"/>
  <c r="M15" i="15"/>
  <c r="M24" i="15"/>
  <c r="M25" i="15" s="1"/>
  <c r="N15" i="15"/>
  <c r="N24" i="15"/>
  <c r="N25" i="15" s="1"/>
  <c r="M18" i="28"/>
  <c r="N18" i="28"/>
  <c r="N20" i="28"/>
  <c r="M20" i="28"/>
  <c r="M21" i="28"/>
  <c r="M15" i="28"/>
  <c r="N21" i="28"/>
  <c r="N15" i="28"/>
  <c r="N19" i="27"/>
  <c r="N21" i="27"/>
  <c r="M19" i="27"/>
  <c r="M21" i="27"/>
  <c r="N18" i="27"/>
  <c r="N20" i="27"/>
  <c r="M24" i="27"/>
  <c r="M25" i="27" s="1"/>
  <c r="N15" i="27"/>
  <c r="M16" i="27"/>
  <c r="M18" i="23"/>
  <c r="N18" i="23"/>
  <c r="M19" i="23"/>
  <c r="N19" i="23"/>
  <c r="N20" i="23"/>
  <c r="M15" i="23"/>
  <c r="M24" i="23"/>
  <c r="M25" i="23" s="1"/>
  <c r="M21" i="23"/>
  <c r="N15" i="23"/>
  <c r="N24" i="23"/>
  <c r="N25" i="23" s="1"/>
  <c r="N20" i="24"/>
  <c r="N18" i="24"/>
  <c r="M16" i="24"/>
  <c r="N16" i="24"/>
  <c r="M19" i="24"/>
  <c r="N19" i="24"/>
  <c r="M20" i="24"/>
  <c r="N21" i="24"/>
  <c r="M15" i="24"/>
  <c r="M24" i="24"/>
  <c r="M25" i="24" s="1"/>
  <c r="N15" i="24"/>
  <c r="N24" i="24"/>
  <c r="N25" i="24" s="1"/>
  <c r="N20" i="33"/>
  <c r="M20" i="33"/>
  <c r="N21" i="33"/>
  <c r="M15" i="33"/>
  <c r="M24" i="33"/>
  <c r="M25" i="33" s="1"/>
  <c r="M21" i="33"/>
  <c r="N15" i="33"/>
  <c r="N24" i="33"/>
  <c r="N25" i="33" s="1"/>
  <c r="N19" i="34"/>
  <c r="N21" i="34"/>
  <c r="M21" i="34"/>
  <c r="M20" i="34"/>
  <c r="M19" i="34"/>
  <c r="M15" i="34"/>
  <c r="M24" i="34"/>
  <c r="M25" i="34" s="1"/>
  <c r="N20" i="34"/>
  <c r="N15" i="34"/>
  <c r="N21" i="17"/>
  <c r="N20" i="17"/>
  <c r="N18" i="17"/>
  <c r="M20" i="17"/>
  <c r="M15" i="17"/>
  <c r="M24" i="17"/>
  <c r="M25" i="17" s="1"/>
  <c r="M18" i="17"/>
  <c r="N15" i="17"/>
  <c r="N24" i="17"/>
  <c r="N25" i="17" s="1"/>
  <c r="M19" i="17"/>
  <c r="N20" i="18"/>
  <c r="M18" i="18"/>
  <c r="N19" i="18"/>
  <c r="M15" i="18"/>
  <c r="M24" i="18"/>
  <c r="N15" i="18"/>
  <c r="N24" i="18"/>
  <c r="N18" i="18"/>
  <c r="N21" i="18"/>
  <c r="M18" i="31"/>
  <c r="M21" i="31"/>
  <c r="N18" i="31"/>
  <c r="N21" i="31"/>
  <c r="N20" i="31"/>
  <c r="M19" i="31"/>
  <c r="N24" i="31"/>
  <c r="N25" i="31" s="1"/>
  <c r="N19" i="31"/>
  <c r="M15" i="31"/>
  <c r="M20" i="31"/>
  <c r="N15" i="32"/>
  <c r="M16" i="32"/>
  <c r="M15" i="32"/>
  <c r="N19" i="39"/>
  <c r="M21" i="39"/>
  <c r="M19" i="39"/>
  <c r="N20" i="39"/>
  <c r="N21" i="39"/>
  <c r="M24" i="39"/>
  <c r="M25" i="39" s="1"/>
  <c r="N15" i="39"/>
  <c r="N24" i="39"/>
  <c r="N25" i="39" s="1"/>
  <c r="M20" i="39"/>
  <c r="N15" i="38"/>
  <c r="M16" i="38"/>
  <c r="M18" i="19"/>
  <c r="N19" i="19"/>
  <c r="M19" i="19"/>
  <c r="M20" i="19"/>
  <c r="M24" i="19"/>
  <c r="M25" i="19" s="1"/>
  <c r="N21" i="19"/>
  <c r="N24" i="19"/>
  <c r="N25" i="19" s="1"/>
  <c r="N20" i="19"/>
  <c r="M15" i="19"/>
  <c r="N15" i="19"/>
  <c r="M16" i="19"/>
  <c r="M15" i="20"/>
  <c r="N15" i="20"/>
  <c r="M16" i="20"/>
  <c r="M19" i="29"/>
  <c r="N20" i="29"/>
  <c r="N21" i="29"/>
  <c r="N18" i="29"/>
  <c r="M20" i="29"/>
  <c r="N19" i="29"/>
  <c r="M21" i="29"/>
  <c r="M15" i="29"/>
  <c r="M24" i="29"/>
  <c r="M25" i="29" s="1"/>
  <c r="M18" i="29"/>
  <c r="N15" i="29"/>
  <c r="N15" i="30"/>
  <c r="N18" i="30"/>
  <c r="N16" i="30"/>
  <c r="N21" i="30"/>
  <c r="N20" i="30"/>
  <c r="N25" i="30"/>
  <c r="M15" i="30"/>
  <c r="M16" i="30"/>
  <c r="M19" i="30"/>
  <c r="M20" i="30"/>
  <c r="M21" i="30"/>
  <c r="M24" i="30"/>
  <c r="M25" i="30" s="1"/>
  <c r="K23" i="41"/>
  <c r="I23" i="41"/>
  <c r="L22" i="41"/>
  <c r="L23" i="41" s="1"/>
  <c r="K22" i="41"/>
  <c r="J22" i="41"/>
  <c r="J23" i="41" s="1"/>
  <c r="I22" i="41"/>
  <c r="H22" i="41"/>
  <c r="H23" i="41" s="1"/>
  <c r="G22" i="41"/>
  <c r="G23" i="41" s="1"/>
  <c r="F22" i="41"/>
  <c r="F23" i="41" s="1"/>
  <c r="E22" i="41"/>
  <c r="E23" i="41" s="1"/>
  <c r="D22" i="41"/>
  <c r="D23" i="41" s="1"/>
  <c r="C22" i="41"/>
  <c r="C23" i="41" s="1"/>
  <c r="B16" i="41"/>
  <c r="B15" i="41"/>
  <c r="L6" i="41"/>
  <c r="K6" i="41"/>
  <c r="J6" i="41"/>
  <c r="I6" i="41"/>
  <c r="H6" i="41"/>
  <c r="G6" i="41"/>
  <c r="F6" i="41"/>
  <c r="E6" i="41"/>
  <c r="D6" i="41"/>
  <c r="C6" i="41"/>
  <c r="L5" i="41"/>
  <c r="K5" i="41"/>
  <c r="J5" i="41"/>
  <c r="I5" i="41"/>
  <c r="H5" i="41"/>
  <c r="G5" i="41"/>
  <c r="F5" i="41"/>
  <c r="E5" i="41"/>
  <c r="D5" i="41"/>
  <c r="C5" i="41"/>
  <c r="L4" i="41"/>
  <c r="K4" i="41"/>
  <c r="J4" i="41"/>
  <c r="I4" i="41"/>
  <c r="H4" i="41"/>
  <c r="G4" i="41"/>
  <c r="F4" i="41"/>
  <c r="E4" i="41"/>
  <c r="D4" i="41"/>
  <c r="C4" i="41"/>
  <c r="L3" i="41"/>
  <c r="K3" i="41"/>
  <c r="J3" i="41"/>
  <c r="I3" i="41"/>
  <c r="H3" i="41"/>
  <c r="G3" i="41"/>
  <c r="F3" i="41"/>
  <c r="E3" i="41"/>
  <c r="D3" i="41"/>
  <c r="C3" i="41"/>
  <c r="C19" i="41" s="1"/>
  <c r="L2" i="41"/>
  <c r="K2" i="41"/>
  <c r="J2" i="41"/>
  <c r="I2" i="41"/>
  <c r="H2" i="41"/>
  <c r="H16" i="41" s="1"/>
  <c r="G2" i="41"/>
  <c r="G15" i="41" s="1"/>
  <c r="F2" i="41"/>
  <c r="F15" i="41" s="1"/>
  <c r="E2" i="41"/>
  <c r="E15" i="41" s="1"/>
  <c r="D2" i="41"/>
  <c r="D21" i="41" s="1"/>
  <c r="C2" i="41"/>
  <c r="L22" i="42"/>
  <c r="L23" i="42" s="1"/>
  <c r="K22" i="42"/>
  <c r="K23" i="42" s="1"/>
  <c r="J22" i="42"/>
  <c r="J23" i="42" s="1"/>
  <c r="I22" i="42"/>
  <c r="I23" i="42" s="1"/>
  <c r="H22" i="42"/>
  <c r="H23" i="42" s="1"/>
  <c r="G22" i="42"/>
  <c r="G23" i="42" s="1"/>
  <c r="F22" i="42"/>
  <c r="F23" i="42" s="1"/>
  <c r="E22" i="42"/>
  <c r="E23" i="42" s="1"/>
  <c r="D22" i="42"/>
  <c r="D23" i="42" s="1"/>
  <c r="C22" i="42"/>
  <c r="C23" i="42" s="1"/>
  <c r="B16" i="42"/>
  <c r="B15" i="42"/>
  <c r="L6" i="42"/>
  <c r="K6" i="42"/>
  <c r="J6" i="42"/>
  <c r="I6" i="42"/>
  <c r="H6" i="42"/>
  <c r="G6" i="42"/>
  <c r="F6" i="42"/>
  <c r="E6" i="42"/>
  <c r="D6" i="42"/>
  <c r="C6" i="42"/>
  <c r="L5" i="42"/>
  <c r="K5" i="42"/>
  <c r="J5" i="42"/>
  <c r="I5" i="42"/>
  <c r="H5" i="42"/>
  <c r="G5" i="42"/>
  <c r="F5" i="42"/>
  <c r="E5" i="42"/>
  <c r="E21" i="42" s="1"/>
  <c r="D5" i="42"/>
  <c r="C5" i="42"/>
  <c r="L4" i="42"/>
  <c r="K4" i="42"/>
  <c r="J4" i="42"/>
  <c r="I4" i="42"/>
  <c r="H4" i="42"/>
  <c r="G4" i="42"/>
  <c r="F4" i="42"/>
  <c r="E4" i="42"/>
  <c r="D4" i="42"/>
  <c r="C4" i="42"/>
  <c r="C20" i="42" s="1"/>
  <c r="L3" i="42"/>
  <c r="K3" i="42"/>
  <c r="J3" i="42"/>
  <c r="I3" i="42"/>
  <c r="H3" i="42"/>
  <c r="G3" i="42"/>
  <c r="F3" i="42"/>
  <c r="E3" i="42"/>
  <c r="D3" i="42"/>
  <c r="C3" i="42"/>
  <c r="L2" i="42"/>
  <c r="K2" i="42"/>
  <c r="K19" i="42" s="1"/>
  <c r="J2" i="42"/>
  <c r="I2" i="42"/>
  <c r="H2" i="42"/>
  <c r="G2" i="42"/>
  <c r="F2" i="42"/>
  <c r="E2" i="42"/>
  <c r="D2" i="42"/>
  <c r="C2" i="42"/>
  <c r="L22" i="40"/>
  <c r="L23" i="40" s="1"/>
  <c r="K22" i="40"/>
  <c r="K23" i="40" s="1"/>
  <c r="J22" i="40"/>
  <c r="J23" i="40" s="1"/>
  <c r="I22" i="40"/>
  <c r="I23" i="40" s="1"/>
  <c r="H22" i="40"/>
  <c r="H23" i="40" s="1"/>
  <c r="G22" i="40"/>
  <c r="G23" i="40" s="1"/>
  <c r="F22" i="40"/>
  <c r="F23" i="40" s="1"/>
  <c r="E22" i="40"/>
  <c r="E23" i="40" s="1"/>
  <c r="D22" i="40"/>
  <c r="D23" i="40" s="1"/>
  <c r="C22" i="40"/>
  <c r="C23" i="40" s="1"/>
  <c r="B16" i="40"/>
  <c r="B15" i="40"/>
  <c r="L6" i="40"/>
  <c r="K6" i="40"/>
  <c r="J6" i="40"/>
  <c r="I6" i="40"/>
  <c r="H6" i="40"/>
  <c r="G6" i="40"/>
  <c r="F6" i="40"/>
  <c r="E6" i="40"/>
  <c r="D6" i="40"/>
  <c r="C6" i="40"/>
  <c r="L5" i="40"/>
  <c r="K5" i="40"/>
  <c r="J5" i="40"/>
  <c r="I5" i="40"/>
  <c r="H5" i="40"/>
  <c r="G5" i="40"/>
  <c r="F5" i="40"/>
  <c r="E5" i="40"/>
  <c r="D5" i="40"/>
  <c r="C5" i="40"/>
  <c r="L4" i="40"/>
  <c r="K4" i="40"/>
  <c r="J4" i="40"/>
  <c r="I4" i="40"/>
  <c r="H4" i="40"/>
  <c r="G4" i="40"/>
  <c r="F4" i="40"/>
  <c r="E4" i="40"/>
  <c r="D4" i="40"/>
  <c r="C4" i="40"/>
  <c r="L3" i="40"/>
  <c r="K3" i="40"/>
  <c r="J3" i="40"/>
  <c r="I3" i="40"/>
  <c r="H3" i="40"/>
  <c r="G3" i="40"/>
  <c r="F3" i="40"/>
  <c r="E3" i="40"/>
  <c r="D3" i="40"/>
  <c r="C3" i="40"/>
  <c r="L2" i="40"/>
  <c r="K2" i="40"/>
  <c r="J2" i="40"/>
  <c r="I2" i="40"/>
  <c r="H2" i="40"/>
  <c r="G2" i="40"/>
  <c r="F2" i="40"/>
  <c r="E2" i="40"/>
  <c r="E24" i="40" s="1"/>
  <c r="D2" i="40"/>
  <c r="C2" i="40"/>
  <c r="L22" i="37"/>
  <c r="L23" i="37" s="1"/>
  <c r="K22" i="37"/>
  <c r="K23" i="37" s="1"/>
  <c r="J22" i="37"/>
  <c r="J23" i="37" s="1"/>
  <c r="I22" i="37"/>
  <c r="I23" i="37" s="1"/>
  <c r="H22" i="37"/>
  <c r="H23" i="37" s="1"/>
  <c r="G22" i="37"/>
  <c r="G23" i="37" s="1"/>
  <c r="F22" i="37"/>
  <c r="F23" i="37" s="1"/>
  <c r="E22" i="37"/>
  <c r="E23" i="37" s="1"/>
  <c r="D22" i="37"/>
  <c r="D23" i="37" s="1"/>
  <c r="C22" i="37"/>
  <c r="C23" i="37" s="1"/>
  <c r="B16" i="37"/>
  <c r="B15" i="37"/>
  <c r="L6" i="37"/>
  <c r="K6" i="37"/>
  <c r="J6" i="37"/>
  <c r="I6" i="37"/>
  <c r="H6" i="37"/>
  <c r="G6" i="37"/>
  <c r="F6" i="37"/>
  <c r="E6" i="37"/>
  <c r="D6" i="37"/>
  <c r="C6" i="37"/>
  <c r="L5" i="37"/>
  <c r="K5" i="37"/>
  <c r="J5" i="37"/>
  <c r="I5" i="37"/>
  <c r="H5" i="37"/>
  <c r="G5" i="37"/>
  <c r="F5" i="37"/>
  <c r="E5" i="37"/>
  <c r="D5" i="37"/>
  <c r="C5" i="37"/>
  <c r="L4" i="37"/>
  <c r="K4" i="37"/>
  <c r="J4" i="37"/>
  <c r="I4" i="37"/>
  <c r="H4" i="37"/>
  <c r="G4" i="37"/>
  <c r="F4" i="37"/>
  <c r="E4" i="37"/>
  <c r="D4" i="37"/>
  <c r="C4" i="37"/>
  <c r="L3" i="37"/>
  <c r="K3" i="37"/>
  <c r="J3" i="37"/>
  <c r="I3" i="37"/>
  <c r="H3" i="37"/>
  <c r="G3" i="37"/>
  <c r="F3" i="37"/>
  <c r="E3" i="37"/>
  <c r="D3" i="37"/>
  <c r="C3" i="37"/>
  <c r="L2" i="37"/>
  <c r="K2" i="37"/>
  <c r="K21" i="37" s="1"/>
  <c r="J2" i="37"/>
  <c r="J21" i="37" s="1"/>
  <c r="I2" i="37"/>
  <c r="I15" i="37" s="1"/>
  <c r="H2" i="37"/>
  <c r="H15" i="37" s="1"/>
  <c r="G2" i="37"/>
  <c r="F2" i="37"/>
  <c r="F24" i="37" s="1"/>
  <c r="F25" i="37" s="1"/>
  <c r="E2" i="37"/>
  <c r="E24" i="37" s="1"/>
  <c r="E25" i="37" s="1"/>
  <c r="D2" i="37"/>
  <c r="C2" i="37"/>
  <c r="B2" i="17"/>
  <c r="B2" i="31"/>
  <c r="B2" i="39"/>
  <c r="L22" i="39" s="1"/>
  <c r="L23" i="39" s="1"/>
  <c r="B16" i="39"/>
  <c r="L6" i="39"/>
  <c r="K6" i="39"/>
  <c r="J6" i="39"/>
  <c r="I6" i="39"/>
  <c r="H6" i="39"/>
  <c r="G6" i="39"/>
  <c r="F6" i="39"/>
  <c r="F18" i="39" s="1"/>
  <c r="E6" i="39"/>
  <c r="D6" i="39"/>
  <c r="D18" i="39" s="1"/>
  <c r="C6" i="39"/>
  <c r="C18" i="39" s="1"/>
  <c r="L5" i="39"/>
  <c r="K5" i="39"/>
  <c r="J5" i="39"/>
  <c r="I5" i="39"/>
  <c r="H5" i="39"/>
  <c r="G5" i="39"/>
  <c r="F5" i="39"/>
  <c r="E5" i="39"/>
  <c r="D5" i="39"/>
  <c r="C5" i="39"/>
  <c r="L4" i="39"/>
  <c r="K4" i="39"/>
  <c r="J4" i="39"/>
  <c r="I4" i="39"/>
  <c r="H4" i="39"/>
  <c r="H18" i="39" s="1"/>
  <c r="G4" i="39"/>
  <c r="G18" i="39" s="1"/>
  <c r="F4" i="39"/>
  <c r="E4" i="39"/>
  <c r="D4" i="39"/>
  <c r="C4" i="39"/>
  <c r="L3" i="39"/>
  <c r="K3" i="39"/>
  <c r="J3" i="39"/>
  <c r="I3" i="39"/>
  <c r="H3" i="39"/>
  <c r="G3" i="39"/>
  <c r="F3" i="39"/>
  <c r="E3" i="39"/>
  <c r="E18" i="39" s="1"/>
  <c r="D3" i="39"/>
  <c r="D20" i="39" s="1"/>
  <c r="C3" i="39"/>
  <c r="L2" i="39"/>
  <c r="K2" i="39"/>
  <c r="J2" i="39"/>
  <c r="I2" i="39"/>
  <c r="H2" i="39"/>
  <c r="H19" i="39" s="1"/>
  <c r="G2" i="39"/>
  <c r="G15" i="39" s="1"/>
  <c r="F2" i="39"/>
  <c r="F24" i="39" s="1"/>
  <c r="E2" i="39"/>
  <c r="E24" i="39" s="1"/>
  <c r="D2" i="39"/>
  <c r="D21" i="39" s="1"/>
  <c r="C2" i="39"/>
  <c r="C21" i="39" s="1"/>
  <c r="J22" i="39"/>
  <c r="J23" i="39" s="1"/>
  <c r="B2" i="19"/>
  <c r="B2" i="16"/>
  <c r="M24" i="16" s="1"/>
  <c r="B2" i="18"/>
  <c r="N19" i="16" l="1"/>
  <c r="N22" i="18"/>
  <c r="N23" i="18" s="1"/>
  <c r="N25" i="18" s="1"/>
  <c r="B26" i="18"/>
  <c r="M22" i="18"/>
  <c r="M23" i="18" s="1"/>
  <c r="M25" i="18" s="1"/>
  <c r="M19" i="18"/>
  <c r="M21" i="18"/>
  <c r="M22" i="16"/>
  <c r="M23" i="16" s="1"/>
  <c r="M25" i="16" s="1"/>
  <c r="B26" i="16"/>
  <c r="N22" i="16"/>
  <c r="N23" i="16" s="1"/>
  <c r="M18" i="16"/>
  <c r="N24" i="16"/>
  <c r="N25" i="16" s="1"/>
  <c r="M20" i="18"/>
  <c r="D19" i="37"/>
  <c r="C19" i="37"/>
  <c r="L21" i="37"/>
  <c r="G15" i="37"/>
  <c r="C19" i="40"/>
  <c r="D19" i="40"/>
  <c r="E25" i="40"/>
  <c r="F24" i="40"/>
  <c r="F25" i="40" s="1"/>
  <c r="J21" i="40"/>
  <c r="G15" i="40"/>
  <c r="J15" i="40"/>
  <c r="H15" i="40"/>
  <c r="I15" i="40"/>
  <c r="K21" i="40"/>
  <c r="L21" i="40"/>
  <c r="K15" i="40"/>
  <c r="G18" i="40"/>
  <c r="D20" i="40"/>
  <c r="E19" i="40"/>
  <c r="H18" i="40"/>
  <c r="H15" i="42"/>
  <c r="E15" i="42"/>
  <c r="I16" i="42"/>
  <c r="G15" i="42"/>
  <c r="C19" i="42"/>
  <c r="D21" i="42"/>
  <c r="J16" i="42"/>
  <c r="J24" i="42"/>
  <c r="J25" i="42" s="1"/>
  <c r="I15" i="42"/>
  <c r="F15" i="42"/>
  <c r="H16" i="42"/>
  <c r="J15" i="42"/>
  <c r="I24" i="42"/>
  <c r="I25" i="42" s="1"/>
  <c r="L19" i="42"/>
  <c r="D20" i="42"/>
  <c r="F21" i="42"/>
  <c r="E20" i="42"/>
  <c r="G21" i="42"/>
  <c r="C21" i="42"/>
  <c r="K19" i="41"/>
  <c r="L19" i="41"/>
  <c r="I24" i="41"/>
  <c r="I25" i="41" s="1"/>
  <c r="J24" i="41"/>
  <c r="J25" i="41" s="1"/>
  <c r="C20" i="41"/>
  <c r="E21" i="41"/>
  <c r="D20" i="41"/>
  <c r="E20" i="41"/>
  <c r="C21" i="41"/>
  <c r="G21" i="41"/>
  <c r="F21" i="41"/>
  <c r="H15" i="41"/>
  <c r="I15" i="41"/>
  <c r="J15" i="41"/>
  <c r="I16" i="41"/>
  <c r="J16" i="41"/>
  <c r="K15" i="41"/>
  <c r="L16" i="41"/>
  <c r="D19" i="41"/>
  <c r="F20" i="41"/>
  <c r="H21" i="41"/>
  <c r="L15" i="41"/>
  <c r="C18" i="41"/>
  <c r="E19" i="41"/>
  <c r="G20" i="41"/>
  <c r="I21" i="41"/>
  <c r="C24" i="41"/>
  <c r="C25" i="41" s="1"/>
  <c r="K18" i="41"/>
  <c r="D18" i="41"/>
  <c r="F19" i="41"/>
  <c r="H20" i="41"/>
  <c r="J21" i="41"/>
  <c r="D24" i="41"/>
  <c r="D25" i="41" s="1"/>
  <c r="C16" i="41"/>
  <c r="E18" i="41"/>
  <c r="G19" i="41"/>
  <c r="I20" i="41"/>
  <c r="K21" i="41"/>
  <c r="E24" i="41"/>
  <c r="E25" i="41" s="1"/>
  <c r="K24" i="41"/>
  <c r="K25" i="41" s="1"/>
  <c r="C15" i="41"/>
  <c r="D16" i="41"/>
  <c r="F18" i="41"/>
  <c r="H19" i="41"/>
  <c r="J20" i="41"/>
  <c r="L21" i="41"/>
  <c r="F24" i="41"/>
  <c r="F25" i="41" s="1"/>
  <c r="D15" i="41"/>
  <c r="E16" i="41"/>
  <c r="G18" i="41"/>
  <c r="I19" i="41"/>
  <c r="K20" i="41"/>
  <c r="G24" i="41"/>
  <c r="G25" i="41" s="1"/>
  <c r="L24" i="41"/>
  <c r="L25" i="41" s="1"/>
  <c r="K16" i="41"/>
  <c r="F16" i="41"/>
  <c r="H18" i="41"/>
  <c r="J19" i="41"/>
  <c r="L20" i="41"/>
  <c r="H24" i="41"/>
  <c r="H25" i="41" s="1"/>
  <c r="G16" i="41"/>
  <c r="I18" i="41"/>
  <c r="L18" i="41"/>
  <c r="J18" i="41"/>
  <c r="K18" i="42"/>
  <c r="K15" i="42"/>
  <c r="L16" i="42"/>
  <c r="D19" i="42"/>
  <c r="F20" i="42"/>
  <c r="H21" i="42"/>
  <c r="L15" i="42"/>
  <c r="C18" i="42"/>
  <c r="E19" i="42"/>
  <c r="G20" i="42"/>
  <c r="I21" i="42"/>
  <c r="C24" i="42"/>
  <c r="C25" i="42" s="1"/>
  <c r="L18" i="42"/>
  <c r="D18" i="42"/>
  <c r="F19" i="42"/>
  <c r="H20" i="42"/>
  <c r="J21" i="42"/>
  <c r="D24" i="42"/>
  <c r="D25" i="42" s="1"/>
  <c r="C16" i="42"/>
  <c r="E18" i="42"/>
  <c r="G19" i="42"/>
  <c r="I20" i="42"/>
  <c r="K21" i="42"/>
  <c r="E24" i="42"/>
  <c r="E25" i="42" s="1"/>
  <c r="C15" i="42"/>
  <c r="D16" i="42"/>
  <c r="F18" i="42"/>
  <c r="H19" i="42"/>
  <c r="J20" i="42"/>
  <c r="L21" i="42"/>
  <c r="F24" i="42"/>
  <c r="F25" i="42" s="1"/>
  <c r="K24" i="42"/>
  <c r="K25" i="42" s="1"/>
  <c r="K16" i="42"/>
  <c r="D15" i="42"/>
  <c r="E16" i="42"/>
  <c r="G18" i="42"/>
  <c r="I19" i="42"/>
  <c r="K20" i="42"/>
  <c r="G24" i="42"/>
  <c r="G25" i="42" s="1"/>
  <c r="L24" i="42"/>
  <c r="L25" i="42" s="1"/>
  <c r="F16" i="42"/>
  <c r="H18" i="42"/>
  <c r="J19" i="42"/>
  <c r="L20" i="42"/>
  <c r="H24" i="42"/>
  <c r="H25" i="42" s="1"/>
  <c r="G16" i="42"/>
  <c r="I18" i="42"/>
  <c r="J18" i="42"/>
  <c r="C16" i="40"/>
  <c r="L15" i="40"/>
  <c r="D16" i="40"/>
  <c r="I18" i="40"/>
  <c r="G19" i="40"/>
  <c r="E20" i="40"/>
  <c r="C21" i="40"/>
  <c r="I24" i="40"/>
  <c r="I25" i="40" s="1"/>
  <c r="E16" i="40"/>
  <c r="J18" i="40"/>
  <c r="H19" i="40"/>
  <c r="F20" i="40"/>
  <c r="D21" i="40"/>
  <c r="J24" i="40"/>
  <c r="J25" i="40" s="1"/>
  <c r="F16" i="40"/>
  <c r="K18" i="40"/>
  <c r="I19" i="40"/>
  <c r="G20" i="40"/>
  <c r="E21" i="40"/>
  <c r="K24" i="40"/>
  <c r="K25" i="40" s="1"/>
  <c r="G24" i="40"/>
  <c r="G25" i="40" s="1"/>
  <c r="C15" i="40"/>
  <c r="G16" i="40"/>
  <c r="L18" i="40"/>
  <c r="J19" i="40"/>
  <c r="H20" i="40"/>
  <c r="F21" i="40"/>
  <c r="L24" i="40"/>
  <c r="L25" i="40" s="1"/>
  <c r="D15" i="40"/>
  <c r="H16" i="40"/>
  <c r="K19" i="40"/>
  <c r="I20" i="40"/>
  <c r="G21" i="40"/>
  <c r="H24" i="40"/>
  <c r="H25" i="40" s="1"/>
  <c r="E15" i="40"/>
  <c r="I16" i="40"/>
  <c r="L19" i="40"/>
  <c r="J20" i="40"/>
  <c r="H21" i="40"/>
  <c r="F15" i="40"/>
  <c r="J16" i="40"/>
  <c r="C18" i="40"/>
  <c r="K20" i="40"/>
  <c r="I21" i="40"/>
  <c r="C24" i="40"/>
  <c r="C25" i="40" s="1"/>
  <c r="K16" i="40"/>
  <c r="D18" i="40"/>
  <c r="L20" i="40"/>
  <c r="D24" i="40"/>
  <c r="D25" i="40" s="1"/>
  <c r="C20" i="40"/>
  <c r="F19" i="40"/>
  <c r="L16" i="40"/>
  <c r="E18" i="40"/>
  <c r="F18" i="40"/>
  <c r="J15" i="37"/>
  <c r="G18" i="37"/>
  <c r="E19" i="37"/>
  <c r="C20" i="37"/>
  <c r="G24" i="37"/>
  <c r="G25" i="37" s="1"/>
  <c r="K15" i="37"/>
  <c r="C16" i="37"/>
  <c r="H18" i="37"/>
  <c r="F19" i="37"/>
  <c r="D20" i="37"/>
  <c r="H24" i="37"/>
  <c r="H25" i="37" s="1"/>
  <c r="L15" i="37"/>
  <c r="D16" i="37"/>
  <c r="I18" i="37"/>
  <c r="G19" i="37"/>
  <c r="E20" i="37"/>
  <c r="C21" i="37"/>
  <c r="I24" i="37"/>
  <c r="I25" i="37" s="1"/>
  <c r="E16" i="37"/>
  <c r="J18" i="37"/>
  <c r="H19" i="37"/>
  <c r="F20" i="37"/>
  <c r="D21" i="37"/>
  <c r="J24" i="37"/>
  <c r="J25" i="37" s="1"/>
  <c r="F16" i="37"/>
  <c r="K18" i="37"/>
  <c r="I19" i="37"/>
  <c r="G20" i="37"/>
  <c r="E21" i="37"/>
  <c r="K24" i="37"/>
  <c r="K25" i="37" s="1"/>
  <c r="C15" i="37"/>
  <c r="G16" i="37"/>
  <c r="L18" i="37"/>
  <c r="J19" i="37"/>
  <c r="H20" i="37"/>
  <c r="F21" i="37"/>
  <c r="L24" i="37"/>
  <c r="L25" i="37" s="1"/>
  <c r="D15" i="37"/>
  <c r="H16" i="37"/>
  <c r="K19" i="37"/>
  <c r="I20" i="37"/>
  <c r="G21" i="37"/>
  <c r="E15" i="37"/>
  <c r="I16" i="37"/>
  <c r="L19" i="37"/>
  <c r="J20" i="37"/>
  <c r="H21" i="37"/>
  <c r="F15" i="37"/>
  <c r="J16" i="37"/>
  <c r="C18" i="37"/>
  <c r="K20" i="37"/>
  <c r="I21" i="37"/>
  <c r="C24" i="37"/>
  <c r="C25" i="37" s="1"/>
  <c r="K16" i="37"/>
  <c r="D18" i="37"/>
  <c r="L20" i="37"/>
  <c r="D24" i="37"/>
  <c r="D25" i="37" s="1"/>
  <c r="L16" i="37"/>
  <c r="E18" i="37"/>
  <c r="F18" i="37"/>
  <c r="J16" i="39"/>
  <c r="F15" i="39"/>
  <c r="I16" i="39"/>
  <c r="L16" i="39"/>
  <c r="K16" i="39"/>
  <c r="G16" i="39"/>
  <c r="I15" i="39"/>
  <c r="J15" i="39"/>
  <c r="K22" i="39"/>
  <c r="K23" i="39" s="1"/>
  <c r="I19" i="39"/>
  <c r="E21" i="39"/>
  <c r="G24" i="39"/>
  <c r="J19" i="39"/>
  <c r="F21" i="39"/>
  <c r="H24" i="39"/>
  <c r="H25" i="39" s="1"/>
  <c r="H15" i="39"/>
  <c r="K19" i="39"/>
  <c r="G21" i="39"/>
  <c r="I24" i="39"/>
  <c r="I25" i="39" s="1"/>
  <c r="L19" i="39"/>
  <c r="H21" i="39"/>
  <c r="J24" i="39"/>
  <c r="J25" i="39" s="1"/>
  <c r="C20" i="39"/>
  <c r="I21" i="39"/>
  <c r="K24" i="39"/>
  <c r="J21" i="39"/>
  <c r="L24" i="39"/>
  <c r="L25" i="39" s="1"/>
  <c r="C16" i="39"/>
  <c r="I18" i="39"/>
  <c r="E20" i="39"/>
  <c r="K21" i="39"/>
  <c r="L15" i="39"/>
  <c r="D16" i="39"/>
  <c r="J18" i="39"/>
  <c r="F20" i="39"/>
  <c r="L21" i="39"/>
  <c r="E16" i="39"/>
  <c r="K18" i="39"/>
  <c r="G20" i="39"/>
  <c r="C22" i="39"/>
  <c r="C23" i="39" s="1"/>
  <c r="L18" i="39"/>
  <c r="H20" i="39"/>
  <c r="D22" i="39"/>
  <c r="D23" i="39" s="1"/>
  <c r="I20" i="39"/>
  <c r="E22" i="39"/>
  <c r="E23" i="39" s="1"/>
  <c r="E25" i="39" s="1"/>
  <c r="C19" i="39"/>
  <c r="C15" i="39"/>
  <c r="H16" i="39"/>
  <c r="D19" i="39"/>
  <c r="J20" i="39"/>
  <c r="F22" i="39"/>
  <c r="F23" i="39" s="1"/>
  <c r="F25" i="39" s="1"/>
  <c r="F16" i="39"/>
  <c r="B15" i="39"/>
  <c r="D15" i="39"/>
  <c r="E19" i="39"/>
  <c r="K20" i="39"/>
  <c r="G22" i="39"/>
  <c r="G23" i="39" s="1"/>
  <c r="C24" i="39"/>
  <c r="E15" i="39"/>
  <c r="F19" i="39"/>
  <c r="L20" i="39"/>
  <c r="H22" i="39"/>
  <c r="H23" i="39" s="1"/>
  <c r="D24" i="39"/>
  <c r="D25" i="39" s="1"/>
  <c r="K15" i="39"/>
  <c r="G19" i="39"/>
  <c r="I22" i="39"/>
  <c r="I23" i="39" s="1"/>
  <c r="G25" i="39" l="1"/>
  <c r="K25" i="39"/>
  <c r="C25" i="39"/>
  <c r="L6" i="38" l="1"/>
  <c r="K6" i="38"/>
  <c r="J6" i="38"/>
  <c r="I6" i="38"/>
  <c r="H6" i="38"/>
  <c r="G6" i="38"/>
  <c r="F6" i="38"/>
  <c r="E6" i="38"/>
  <c r="D6" i="38"/>
  <c r="C6" i="38"/>
  <c r="L5" i="38"/>
  <c r="K5" i="38"/>
  <c r="J5" i="38"/>
  <c r="I5" i="38"/>
  <c r="H5" i="38"/>
  <c r="G5" i="38"/>
  <c r="F5" i="38"/>
  <c r="E5" i="38"/>
  <c r="D5" i="38"/>
  <c r="C5" i="38"/>
  <c r="L4" i="38"/>
  <c r="K4" i="38"/>
  <c r="J4" i="38"/>
  <c r="I4" i="38"/>
  <c r="H4" i="38"/>
  <c r="G4" i="38"/>
  <c r="F4" i="38"/>
  <c r="E4" i="38"/>
  <c r="D4" i="38"/>
  <c r="C4" i="38"/>
  <c r="L3" i="38"/>
  <c r="K3" i="38"/>
  <c r="J3" i="38"/>
  <c r="I3" i="38"/>
  <c r="H3" i="38"/>
  <c r="G3" i="38"/>
  <c r="F3" i="38"/>
  <c r="E3" i="38"/>
  <c r="D3" i="38"/>
  <c r="C3" i="38"/>
  <c r="L2" i="38"/>
  <c r="L16" i="38" s="1"/>
  <c r="K2" i="38"/>
  <c r="K16" i="38" s="1"/>
  <c r="J2" i="38"/>
  <c r="I2" i="38"/>
  <c r="H2" i="38"/>
  <c r="G2" i="38"/>
  <c r="F2" i="38"/>
  <c r="E2" i="38"/>
  <c r="D2" i="38"/>
  <c r="C2" i="38"/>
  <c r="B2" i="38"/>
  <c r="B2" i="32"/>
  <c r="B2" i="20"/>
  <c r="M22" i="32" l="1"/>
  <c r="M23" i="32" s="1"/>
  <c r="N22" i="32"/>
  <c r="N23" i="32" s="1"/>
  <c r="B26" i="32"/>
  <c r="N18" i="32"/>
  <c r="M20" i="32"/>
  <c r="N20" i="32"/>
  <c r="N19" i="32"/>
  <c r="M21" i="32"/>
  <c r="N21" i="32"/>
  <c r="M18" i="32"/>
  <c r="M24" i="32"/>
  <c r="M25" i="32" s="1"/>
  <c r="N24" i="32"/>
  <c r="N25" i="32" s="1"/>
  <c r="M19" i="32"/>
  <c r="J22" i="38"/>
  <c r="J23" i="38" s="1"/>
  <c r="N22" i="38"/>
  <c r="N23" i="38" s="1"/>
  <c r="M22" i="38"/>
  <c r="M23" i="38" s="1"/>
  <c r="M20" i="38"/>
  <c r="N20" i="38"/>
  <c r="M24" i="38"/>
  <c r="M25" i="38" s="1"/>
  <c r="M19" i="38"/>
  <c r="M21" i="38"/>
  <c r="N19" i="38"/>
  <c r="N24" i="38"/>
  <c r="N25" i="38" s="1"/>
  <c r="M18" i="38"/>
  <c r="N21" i="38"/>
  <c r="N18" i="38"/>
  <c r="M22" i="20"/>
  <c r="M23" i="20" s="1"/>
  <c r="N22" i="20"/>
  <c r="N23" i="20" s="1"/>
  <c r="N18" i="20"/>
  <c r="M20" i="20"/>
  <c r="M24" i="20"/>
  <c r="M19" i="20"/>
  <c r="N19" i="20"/>
  <c r="N21" i="20"/>
  <c r="N24" i="20"/>
  <c r="N25" i="20" s="1"/>
  <c r="M21" i="20"/>
  <c r="N20" i="20"/>
  <c r="M18" i="20"/>
  <c r="B16" i="38"/>
  <c r="C16" i="38"/>
  <c r="G18" i="38"/>
  <c r="C21" i="38"/>
  <c r="F20" i="38"/>
  <c r="I19" i="38"/>
  <c r="E20" i="38"/>
  <c r="F24" i="38"/>
  <c r="J19" i="38"/>
  <c r="D20" i="38"/>
  <c r="H21" i="38"/>
  <c r="J21" i="38"/>
  <c r="C18" i="38"/>
  <c r="D18" i="38"/>
  <c r="F21" i="38"/>
  <c r="D21" i="38"/>
  <c r="I16" i="38"/>
  <c r="E18" i="38"/>
  <c r="K22" i="38"/>
  <c r="K23" i="38" s="1"/>
  <c r="E24" i="38"/>
  <c r="I15" i="38"/>
  <c r="G15" i="38"/>
  <c r="H19" i="38"/>
  <c r="J16" i="38"/>
  <c r="F18" i="38"/>
  <c r="L22" i="38"/>
  <c r="L23" i="38" s="1"/>
  <c r="E21" i="38"/>
  <c r="G24" i="38"/>
  <c r="H24" i="38"/>
  <c r="H15" i="38"/>
  <c r="G21" i="38"/>
  <c r="I24" i="38"/>
  <c r="J24" i="38"/>
  <c r="K24" i="38"/>
  <c r="K25" i="38" s="1"/>
  <c r="L24" i="38"/>
  <c r="L15" i="38"/>
  <c r="I18" i="38"/>
  <c r="C20" i="38"/>
  <c r="L21" i="38"/>
  <c r="I21" i="38"/>
  <c r="K21" i="38"/>
  <c r="L19" i="38"/>
  <c r="K15" i="38"/>
  <c r="J18" i="38"/>
  <c r="E16" i="38"/>
  <c r="C22" i="38"/>
  <c r="C23" i="38" s="1"/>
  <c r="L18" i="38"/>
  <c r="H20" i="38"/>
  <c r="D22" i="38"/>
  <c r="D23" i="38" s="1"/>
  <c r="B15" i="38"/>
  <c r="G16" i="38"/>
  <c r="C19" i="38"/>
  <c r="I20" i="38"/>
  <c r="E22" i="38"/>
  <c r="E23" i="38" s="1"/>
  <c r="H18" i="38"/>
  <c r="D16" i="38"/>
  <c r="C15" i="38"/>
  <c r="H16" i="38"/>
  <c r="D19" i="38"/>
  <c r="J20" i="38"/>
  <c r="F22" i="38"/>
  <c r="F23" i="38" s="1"/>
  <c r="K18" i="38"/>
  <c r="D15" i="38"/>
  <c r="E19" i="38"/>
  <c r="K20" i="38"/>
  <c r="G22" i="38"/>
  <c r="G23" i="38" s="1"/>
  <c r="C24" i="38"/>
  <c r="K19" i="38"/>
  <c r="F16" i="38"/>
  <c r="E15" i="38"/>
  <c r="F19" i="38"/>
  <c r="L20" i="38"/>
  <c r="H22" i="38"/>
  <c r="H23" i="38" s="1"/>
  <c r="D24" i="38"/>
  <c r="J15" i="38"/>
  <c r="G20" i="38"/>
  <c r="F15" i="38"/>
  <c r="G19" i="38"/>
  <c r="I22" i="38"/>
  <c r="I23" i="38" s="1"/>
  <c r="M25" i="20" l="1"/>
  <c r="J25" i="38"/>
  <c r="F25" i="38"/>
  <c r="I25" i="38"/>
  <c r="L25" i="38"/>
  <c r="C25" i="38"/>
  <c r="E25" i="38"/>
  <c r="H25" i="38"/>
  <c r="G25" i="38"/>
  <c r="D25" i="38"/>
  <c r="L22" i="34" l="1"/>
  <c r="L23" i="34" s="1"/>
  <c r="K22" i="34"/>
  <c r="K23" i="34" s="1"/>
  <c r="L7" i="34"/>
  <c r="K7" i="34"/>
  <c r="L6" i="34"/>
  <c r="K6" i="34"/>
  <c r="L5" i="34"/>
  <c r="K5" i="34"/>
  <c r="L4" i="34"/>
  <c r="K4" i="34"/>
  <c r="L3" i="34"/>
  <c r="K3" i="34"/>
  <c r="L2" i="34"/>
  <c r="K2" i="34"/>
  <c r="L22" i="33"/>
  <c r="L23" i="33" s="1"/>
  <c r="K22" i="33"/>
  <c r="K23" i="33" s="1"/>
  <c r="L7" i="33"/>
  <c r="K7" i="33"/>
  <c r="L6" i="33"/>
  <c r="K6" i="33"/>
  <c r="L5" i="33"/>
  <c r="K5" i="33"/>
  <c r="L4" i="33"/>
  <c r="K4" i="33"/>
  <c r="L3" i="33"/>
  <c r="K3" i="33"/>
  <c r="L2" i="33"/>
  <c r="K2" i="33"/>
  <c r="L22" i="32"/>
  <c r="L23" i="32" s="1"/>
  <c r="K22" i="32"/>
  <c r="K23" i="32" s="1"/>
  <c r="L6" i="32"/>
  <c r="K6" i="32"/>
  <c r="L5" i="32"/>
  <c r="K5" i="32"/>
  <c r="L4" i="32"/>
  <c r="K4" i="32"/>
  <c r="K21" i="32" s="1"/>
  <c r="L3" i="32"/>
  <c r="K3" i="32"/>
  <c r="L2" i="32"/>
  <c r="K2" i="32"/>
  <c r="L22" i="31"/>
  <c r="L23" i="31" s="1"/>
  <c r="K22" i="31"/>
  <c r="K23" i="31" s="1"/>
  <c r="L6" i="31"/>
  <c r="K6" i="31"/>
  <c r="L5" i="31"/>
  <c r="K5" i="31"/>
  <c r="L4" i="31"/>
  <c r="K4" i="31"/>
  <c r="L3" i="31"/>
  <c r="K3" i="31"/>
  <c r="L2" i="31"/>
  <c r="K2" i="31"/>
  <c r="L22" i="30"/>
  <c r="L23" i="30" s="1"/>
  <c r="K22" i="30"/>
  <c r="K23" i="30" s="1"/>
  <c r="L7" i="30"/>
  <c r="K7" i="30"/>
  <c r="L6" i="30"/>
  <c r="K6" i="30"/>
  <c r="L5" i="30"/>
  <c r="K5" i="30"/>
  <c r="L4" i="30"/>
  <c r="K4" i="30"/>
  <c r="L3" i="30"/>
  <c r="K3" i="30"/>
  <c r="L2" i="30"/>
  <c r="K2" i="30"/>
  <c r="L22" i="29"/>
  <c r="L23" i="29" s="1"/>
  <c r="K22" i="29"/>
  <c r="K23" i="29" s="1"/>
  <c r="L7" i="29"/>
  <c r="K7" i="29"/>
  <c r="L6" i="29"/>
  <c r="K6" i="29"/>
  <c r="L5" i="29"/>
  <c r="K5" i="29"/>
  <c r="L4" i="29"/>
  <c r="K4" i="29"/>
  <c r="L3" i="29"/>
  <c r="K3" i="29"/>
  <c r="L2" i="29"/>
  <c r="L16" i="29" s="1"/>
  <c r="K2" i="29"/>
  <c r="L22" i="28"/>
  <c r="L23" i="28" s="1"/>
  <c r="K22" i="28"/>
  <c r="K23" i="28" s="1"/>
  <c r="L9" i="28"/>
  <c r="K9" i="28"/>
  <c r="L8" i="28"/>
  <c r="K8" i="28"/>
  <c r="L7" i="28"/>
  <c r="K7" i="28"/>
  <c r="L6" i="28"/>
  <c r="K6" i="28"/>
  <c r="L5" i="28"/>
  <c r="K5" i="28"/>
  <c r="L4" i="28"/>
  <c r="K4" i="28"/>
  <c r="L3" i="28"/>
  <c r="K3" i="28"/>
  <c r="L2" i="28"/>
  <c r="K2" i="28"/>
  <c r="L22" i="27"/>
  <c r="L23" i="27" s="1"/>
  <c r="K22" i="27"/>
  <c r="K23" i="27" s="1"/>
  <c r="L9" i="27"/>
  <c r="K9" i="27"/>
  <c r="L8" i="27"/>
  <c r="K8" i="27"/>
  <c r="L7" i="27"/>
  <c r="K7" i="27"/>
  <c r="L6" i="27"/>
  <c r="K6" i="27"/>
  <c r="L5" i="27"/>
  <c r="K5" i="27"/>
  <c r="L4" i="27"/>
  <c r="K4" i="27"/>
  <c r="L3" i="27"/>
  <c r="K3" i="27"/>
  <c r="L2" i="27"/>
  <c r="K2" i="27"/>
  <c r="L22" i="26"/>
  <c r="L23" i="26" s="1"/>
  <c r="K22" i="26"/>
  <c r="K23" i="26" s="1"/>
  <c r="L6" i="26"/>
  <c r="K6" i="26"/>
  <c r="L5" i="26"/>
  <c r="K5" i="26"/>
  <c r="L4" i="26"/>
  <c r="K4" i="26"/>
  <c r="L3" i="26"/>
  <c r="K3" i="26"/>
  <c r="L2" i="26"/>
  <c r="L16" i="26" s="1"/>
  <c r="K2" i="26"/>
  <c r="L22" i="25"/>
  <c r="L23" i="25" s="1"/>
  <c r="K22" i="25"/>
  <c r="K23" i="25" s="1"/>
  <c r="L6" i="25"/>
  <c r="K6" i="25"/>
  <c r="L5" i="25"/>
  <c r="K5" i="25"/>
  <c r="L4" i="25"/>
  <c r="K4" i="25"/>
  <c r="L3" i="25"/>
  <c r="K3" i="25"/>
  <c r="L2" i="25"/>
  <c r="L16" i="25" s="1"/>
  <c r="K2" i="25"/>
  <c r="L22" i="24"/>
  <c r="L23" i="24" s="1"/>
  <c r="K22" i="24"/>
  <c r="K23" i="24" s="1"/>
  <c r="L9" i="24"/>
  <c r="K9" i="24"/>
  <c r="L8" i="24"/>
  <c r="K8" i="24"/>
  <c r="L7" i="24"/>
  <c r="K7" i="24"/>
  <c r="L6" i="24"/>
  <c r="K6" i="24"/>
  <c r="L5" i="24"/>
  <c r="K5" i="24"/>
  <c r="L4" i="24"/>
  <c r="K4" i="24"/>
  <c r="L3" i="24"/>
  <c r="K3" i="24"/>
  <c r="L2" i="24"/>
  <c r="K2" i="24"/>
  <c r="L22" i="23"/>
  <c r="L23" i="23" s="1"/>
  <c r="K22" i="23"/>
  <c r="K23" i="23" s="1"/>
  <c r="L9" i="23"/>
  <c r="K9" i="23"/>
  <c r="L8" i="23"/>
  <c r="K8" i="23"/>
  <c r="L7" i="23"/>
  <c r="K7" i="23"/>
  <c r="L6" i="23"/>
  <c r="K6" i="23"/>
  <c r="L5" i="23"/>
  <c r="K5" i="23"/>
  <c r="L4" i="23"/>
  <c r="K4" i="23"/>
  <c r="L3" i="23"/>
  <c r="K3" i="23"/>
  <c r="L2" i="23"/>
  <c r="K2" i="23"/>
  <c r="L22" i="22"/>
  <c r="L23" i="22" s="1"/>
  <c r="K22" i="22"/>
  <c r="K23" i="22" s="1"/>
  <c r="L8" i="22"/>
  <c r="K8" i="22"/>
  <c r="L7" i="22"/>
  <c r="K7" i="22"/>
  <c r="L6" i="22"/>
  <c r="K6" i="22"/>
  <c r="L5" i="22"/>
  <c r="K5" i="22"/>
  <c r="L4" i="22"/>
  <c r="L21" i="22" s="1"/>
  <c r="K4" i="22"/>
  <c r="L3" i="22"/>
  <c r="K3" i="22"/>
  <c r="L2" i="22"/>
  <c r="K2" i="22"/>
  <c r="K16" i="22" s="1"/>
  <c r="L22" i="21"/>
  <c r="L23" i="21" s="1"/>
  <c r="K22" i="21"/>
  <c r="K23" i="21" s="1"/>
  <c r="L8" i="21"/>
  <c r="K8" i="21"/>
  <c r="L7" i="21"/>
  <c r="K7" i="21"/>
  <c r="L6" i="21"/>
  <c r="K6" i="21"/>
  <c r="L5" i="21"/>
  <c r="K5" i="21"/>
  <c r="L4" i="21"/>
  <c r="K4" i="21"/>
  <c r="L3" i="21"/>
  <c r="K3" i="21"/>
  <c r="L2" i="21"/>
  <c r="K2" i="21"/>
  <c r="L22" i="20"/>
  <c r="L23" i="20" s="1"/>
  <c r="K22" i="20"/>
  <c r="K23" i="20" s="1"/>
  <c r="L8" i="20"/>
  <c r="K8" i="20"/>
  <c r="L7" i="20"/>
  <c r="K7" i="20"/>
  <c r="L6" i="20"/>
  <c r="K6" i="20"/>
  <c r="L5" i="20"/>
  <c r="K5" i="20"/>
  <c r="L4" i="20"/>
  <c r="K4" i="20"/>
  <c r="L3" i="20"/>
  <c r="K3" i="20"/>
  <c r="L2" i="20"/>
  <c r="L16" i="20" s="1"/>
  <c r="K2" i="20"/>
  <c r="L22" i="19"/>
  <c r="L23" i="19" s="1"/>
  <c r="K22" i="19"/>
  <c r="K23" i="19" s="1"/>
  <c r="L8" i="19"/>
  <c r="K8" i="19"/>
  <c r="L7" i="19"/>
  <c r="K7" i="19"/>
  <c r="L6" i="19"/>
  <c r="K6" i="19"/>
  <c r="L5" i="19"/>
  <c r="K5" i="19"/>
  <c r="L4" i="19"/>
  <c r="L21" i="19" s="1"/>
  <c r="K4" i="19"/>
  <c r="L3" i="19"/>
  <c r="K3" i="19"/>
  <c r="L2" i="19"/>
  <c r="K2" i="19"/>
  <c r="K16" i="19" s="1"/>
  <c r="L22" i="18"/>
  <c r="L23" i="18" s="1"/>
  <c r="K22" i="18"/>
  <c r="K23" i="18" s="1"/>
  <c r="L8" i="18"/>
  <c r="K8" i="18"/>
  <c r="L7" i="18"/>
  <c r="K7" i="18"/>
  <c r="L6" i="18"/>
  <c r="K6" i="18"/>
  <c r="L5" i="18"/>
  <c r="K5" i="18"/>
  <c r="L4" i="18"/>
  <c r="K4" i="18"/>
  <c r="L3" i="18"/>
  <c r="K3" i="18"/>
  <c r="L2" i="18"/>
  <c r="K2" i="18"/>
  <c r="L22" i="17"/>
  <c r="L23" i="17" s="1"/>
  <c r="K22" i="17"/>
  <c r="K23" i="17" s="1"/>
  <c r="L8" i="17"/>
  <c r="K8" i="17"/>
  <c r="L7" i="17"/>
  <c r="K7" i="17"/>
  <c r="L6" i="17"/>
  <c r="K6" i="17"/>
  <c r="L5" i="17"/>
  <c r="K5" i="17"/>
  <c r="L4" i="17"/>
  <c r="K4" i="17"/>
  <c r="L3" i="17"/>
  <c r="K3" i="17"/>
  <c r="L2" i="17"/>
  <c r="L16" i="17" s="1"/>
  <c r="K2" i="17"/>
  <c r="L22" i="16"/>
  <c r="L23" i="16" s="1"/>
  <c r="K22" i="16"/>
  <c r="K23" i="16" s="1"/>
  <c r="L9" i="16"/>
  <c r="K9" i="16"/>
  <c r="L8" i="16"/>
  <c r="K8" i="16"/>
  <c r="L7" i="16"/>
  <c r="K7" i="16"/>
  <c r="L6" i="16"/>
  <c r="K6" i="16"/>
  <c r="L5" i="16"/>
  <c r="K5" i="16"/>
  <c r="L4" i="16"/>
  <c r="K4" i="16"/>
  <c r="L3" i="16"/>
  <c r="K3" i="16"/>
  <c r="L2" i="16"/>
  <c r="K2" i="16"/>
  <c r="L22" i="15"/>
  <c r="L23" i="15" s="1"/>
  <c r="K22" i="15"/>
  <c r="K23" i="15" s="1"/>
  <c r="L9" i="15"/>
  <c r="K9" i="15"/>
  <c r="L8" i="15"/>
  <c r="K8" i="15"/>
  <c r="L7" i="15"/>
  <c r="K7" i="15"/>
  <c r="L6" i="15"/>
  <c r="K6" i="15"/>
  <c r="L5" i="15"/>
  <c r="K5" i="15"/>
  <c r="L4" i="15"/>
  <c r="K4" i="15"/>
  <c r="L3" i="15"/>
  <c r="K3" i="15"/>
  <c r="L2" i="15"/>
  <c r="L16" i="15" s="1"/>
  <c r="K2" i="15"/>
  <c r="L22" i="14"/>
  <c r="L23" i="14" s="1"/>
  <c r="K22" i="14"/>
  <c r="K23" i="14" s="1"/>
  <c r="L9" i="14"/>
  <c r="K9" i="14"/>
  <c r="L8" i="14"/>
  <c r="K8" i="14"/>
  <c r="L7" i="14"/>
  <c r="K7" i="14"/>
  <c r="L6" i="14"/>
  <c r="K6" i="14"/>
  <c r="L5" i="14"/>
  <c r="K5" i="14"/>
  <c r="L4" i="14"/>
  <c r="K4" i="14"/>
  <c r="L3" i="14"/>
  <c r="K3" i="14"/>
  <c r="L2" i="14"/>
  <c r="K2" i="14"/>
  <c r="L22" i="13"/>
  <c r="L23" i="13" s="1"/>
  <c r="K22" i="13"/>
  <c r="K23" i="13" s="1"/>
  <c r="L9" i="13"/>
  <c r="K9" i="13"/>
  <c r="L8" i="13"/>
  <c r="K8" i="13"/>
  <c r="L7" i="13"/>
  <c r="K7" i="13"/>
  <c r="L6" i="13"/>
  <c r="K6" i="13"/>
  <c r="L5" i="13"/>
  <c r="K5" i="13"/>
  <c r="L4" i="13"/>
  <c r="K4" i="13"/>
  <c r="L3" i="13"/>
  <c r="K3" i="13"/>
  <c r="L2" i="13"/>
  <c r="K2" i="13"/>
  <c r="L22" i="5"/>
  <c r="L23" i="5" s="1"/>
  <c r="K22" i="5"/>
  <c r="K23" i="5" s="1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2" i="5"/>
  <c r="K2" i="5"/>
  <c r="L22" i="4"/>
  <c r="L23" i="4" s="1"/>
  <c r="K22" i="4"/>
  <c r="K23" i="4" s="1"/>
  <c r="K3" i="4"/>
  <c r="L3" i="4"/>
  <c r="K4" i="4"/>
  <c r="L4" i="4"/>
  <c r="K5" i="4"/>
  <c r="L5" i="4"/>
  <c r="K6" i="4"/>
  <c r="L6" i="4"/>
  <c r="K7" i="4"/>
  <c r="L7" i="4"/>
  <c r="K8" i="4"/>
  <c r="L8" i="4"/>
  <c r="K9" i="4"/>
  <c r="L9" i="4"/>
  <c r="L2" i="4"/>
  <c r="K2" i="4"/>
  <c r="B24" i="36"/>
  <c r="B23" i="36"/>
  <c r="B24" i="35"/>
  <c r="B23" i="35"/>
  <c r="J22" i="34"/>
  <c r="J23" i="34" s="1"/>
  <c r="I22" i="34"/>
  <c r="I23" i="34" s="1"/>
  <c r="H22" i="34"/>
  <c r="H23" i="34" s="1"/>
  <c r="G22" i="34"/>
  <c r="G23" i="34" s="1"/>
  <c r="F22" i="34"/>
  <c r="F23" i="34" s="1"/>
  <c r="E22" i="34"/>
  <c r="E23" i="34" s="1"/>
  <c r="D22" i="34"/>
  <c r="D23" i="34" s="1"/>
  <c r="C22" i="34"/>
  <c r="C23" i="34" s="1"/>
  <c r="B16" i="34"/>
  <c r="B15" i="34"/>
  <c r="J7" i="34"/>
  <c r="I7" i="34"/>
  <c r="H7" i="34"/>
  <c r="G7" i="34"/>
  <c r="F7" i="34"/>
  <c r="E7" i="34"/>
  <c r="D7" i="34"/>
  <c r="C7" i="34"/>
  <c r="J6" i="34"/>
  <c r="I6" i="34"/>
  <c r="H6" i="34"/>
  <c r="G6" i="34"/>
  <c r="F6" i="34"/>
  <c r="E6" i="34"/>
  <c r="D6" i="34"/>
  <c r="C6" i="34"/>
  <c r="J5" i="34"/>
  <c r="I5" i="34"/>
  <c r="H5" i="34"/>
  <c r="G5" i="34"/>
  <c r="F5" i="34"/>
  <c r="E5" i="34"/>
  <c r="D5" i="34"/>
  <c r="C5" i="34"/>
  <c r="J4" i="34"/>
  <c r="I4" i="34"/>
  <c r="H4" i="34"/>
  <c r="G4" i="34"/>
  <c r="F4" i="34"/>
  <c r="E4" i="34"/>
  <c r="D4" i="34"/>
  <c r="C4" i="34"/>
  <c r="J3" i="34"/>
  <c r="I3" i="34"/>
  <c r="H3" i="34"/>
  <c r="G3" i="34"/>
  <c r="F3" i="34"/>
  <c r="E3" i="34"/>
  <c r="D3" i="34"/>
  <c r="C3" i="34"/>
  <c r="J2" i="34"/>
  <c r="I2" i="34"/>
  <c r="H2" i="34"/>
  <c r="G2" i="34"/>
  <c r="F2" i="34"/>
  <c r="E2" i="34"/>
  <c r="D2" i="34"/>
  <c r="C2" i="34"/>
  <c r="J7" i="33"/>
  <c r="I7" i="33"/>
  <c r="H7" i="33"/>
  <c r="G7" i="33"/>
  <c r="F7" i="33"/>
  <c r="E7" i="33"/>
  <c r="D7" i="33"/>
  <c r="C7" i="33"/>
  <c r="J22" i="33"/>
  <c r="J23" i="33" s="1"/>
  <c r="I22" i="33"/>
  <c r="I23" i="33" s="1"/>
  <c r="H22" i="33"/>
  <c r="H23" i="33" s="1"/>
  <c r="G22" i="33"/>
  <c r="G23" i="33" s="1"/>
  <c r="F22" i="33"/>
  <c r="F23" i="33" s="1"/>
  <c r="E22" i="33"/>
  <c r="E23" i="33" s="1"/>
  <c r="D22" i="33"/>
  <c r="D23" i="33" s="1"/>
  <c r="C22" i="33"/>
  <c r="C23" i="33" s="1"/>
  <c r="B16" i="33"/>
  <c r="B15" i="33"/>
  <c r="J6" i="33"/>
  <c r="I6" i="33"/>
  <c r="H6" i="33"/>
  <c r="G6" i="33"/>
  <c r="F6" i="33"/>
  <c r="E6" i="33"/>
  <c r="D6" i="33"/>
  <c r="C6" i="33"/>
  <c r="J5" i="33"/>
  <c r="I5" i="33"/>
  <c r="H5" i="33"/>
  <c r="G5" i="33"/>
  <c r="F5" i="33"/>
  <c r="E5" i="33"/>
  <c r="D5" i="33"/>
  <c r="C5" i="33"/>
  <c r="J4" i="33"/>
  <c r="I4" i="33"/>
  <c r="H4" i="33"/>
  <c r="G4" i="33"/>
  <c r="F4" i="33"/>
  <c r="E4" i="33"/>
  <c r="D4" i="33"/>
  <c r="C4" i="33"/>
  <c r="J3" i="33"/>
  <c r="I3" i="33"/>
  <c r="H3" i="33"/>
  <c r="G3" i="33"/>
  <c r="F3" i="33"/>
  <c r="E3" i="33"/>
  <c r="D3" i="33"/>
  <c r="C3" i="33"/>
  <c r="J2" i="33"/>
  <c r="I2" i="33"/>
  <c r="H2" i="33"/>
  <c r="G2" i="33"/>
  <c r="F2" i="33"/>
  <c r="E2" i="33"/>
  <c r="D2" i="33"/>
  <c r="C2" i="33"/>
  <c r="J22" i="32"/>
  <c r="J23" i="32" s="1"/>
  <c r="I22" i="32"/>
  <c r="I23" i="32" s="1"/>
  <c r="H22" i="32"/>
  <c r="H23" i="32" s="1"/>
  <c r="G22" i="32"/>
  <c r="G23" i="32" s="1"/>
  <c r="F22" i="32"/>
  <c r="F23" i="32" s="1"/>
  <c r="E22" i="32"/>
  <c r="E23" i="32" s="1"/>
  <c r="D22" i="32"/>
  <c r="D23" i="32" s="1"/>
  <c r="C22" i="32"/>
  <c r="C23" i="32" s="1"/>
  <c r="B16" i="32"/>
  <c r="B15" i="32"/>
  <c r="J6" i="32"/>
  <c r="I6" i="32"/>
  <c r="H6" i="32"/>
  <c r="G6" i="32"/>
  <c r="F6" i="32"/>
  <c r="E6" i="32"/>
  <c r="D6" i="32"/>
  <c r="C6" i="32"/>
  <c r="J5" i="32"/>
  <c r="I5" i="32"/>
  <c r="H5" i="32"/>
  <c r="G5" i="32"/>
  <c r="F5" i="32"/>
  <c r="E5" i="32"/>
  <c r="D5" i="32"/>
  <c r="C5" i="32"/>
  <c r="J4" i="32"/>
  <c r="I4" i="32"/>
  <c r="H4" i="32"/>
  <c r="G4" i="32"/>
  <c r="F4" i="32"/>
  <c r="E4" i="32"/>
  <c r="D4" i="32"/>
  <c r="C4" i="32"/>
  <c r="J3" i="32"/>
  <c r="I3" i="32"/>
  <c r="H3" i="32"/>
  <c r="G3" i="32"/>
  <c r="F3" i="32"/>
  <c r="E3" i="32"/>
  <c r="D3" i="32"/>
  <c r="C3" i="32"/>
  <c r="J2" i="32"/>
  <c r="I2" i="32"/>
  <c r="H2" i="32"/>
  <c r="H24" i="32" s="1"/>
  <c r="G2" i="32"/>
  <c r="F2" i="32"/>
  <c r="F19" i="32" s="1"/>
  <c r="E2" i="32"/>
  <c r="D2" i="32"/>
  <c r="C2" i="32"/>
  <c r="J22" i="31"/>
  <c r="J23" i="31" s="1"/>
  <c r="I22" i="31"/>
  <c r="I23" i="31" s="1"/>
  <c r="H22" i="31"/>
  <c r="H23" i="31" s="1"/>
  <c r="G22" i="31"/>
  <c r="G23" i="31" s="1"/>
  <c r="F22" i="31"/>
  <c r="F23" i="31" s="1"/>
  <c r="E22" i="31"/>
  <c r="E23" i="31" s="1"/>
  <c r="D22" i="31"/>
  <c r="D23" i="31" s="1"/>
  <c r="C22" i="31"/>
  <c r="C23" i="31" s="1"/>
  <c r="B16" i="31"/>
  <c r="B15" i="31"/>
  <c r="J6" i="31"/>
  <c r="I6" i="31"/>
  <c r="H6" i="31"/>
  <c r="G6" i="31"/>
  <c r="F6" i="31"/>
  <c r="E6" i="31"/>
  <c r="D6" i="31"/>
  <c r="C6" i="31"/>
  <c r="J5" i="31"/>
  <c r="I5" i="31"/>
  <c r="H5" i="31"/>
  <c r="G5" i="31"/>
  <c r="F5" i="31"/>
  <c r="E5" i="31"/>
  <c r="D5" i="31"/>
  <c r="C5" i="31"/>
  <c r="J4" i="31"/>
  <c r="I4" i="31"/>
  <c r="H4" i="31"/>
  <c r="G4" i="31"/>
  <c r="F4" i="31"/>
  <c r="E4" i="31"/>
  <c r="D4" i="31"/>
  <c r="C4" i="31"/>
  <c r="J3" i="31"/>
  <c r="I3" i="31"/>
  <c r="H3" i="31"/>
  <c r="G3" i="31"/>
  <c r="F3" i="31"/>
  <c r="E3" i="31"/>
  <c r="D3" i="31"/>
  <c r="C3" i="31"/>
  <c r="J2" i="31"/>
  <c r="I2" i="31"/>
  <c r="H2" i="31"/>
  <c r="G2" i="31"/>
  <c r="F2" i="31"/>
  <c r="E2" i="31"/>
  <c r="D2" i="31"/>
  <c r="C2" i="31"/>
  <c r="J22" i="30"/>
  <c r="J23" i="30" s="1"/>
  <c r="I22" i="30"/>
  <c r="I23" i="30" s="1"/>
  <c r="H22" i="30"/>
  <c r="H23" i="30" s="1"/>
  <c r="G22" i="30"/>
  <c r="G23" i="30" s="1"/>
  <c r="F22" i="30"/>
  <c r="F23" i="30" s="1"/>
  <c r="E22" i="30"/>
  <c r="E23" i="30" s="1"/>
  <c r="D22" i="30"/>
  <c r="D23" i="30" s="1"/>
  <c r="C22" i="30"/>
  <c r="C23" i="30" s="1"/>
  <c r="B16" i="30"/>
  <c r="B15" i="30"/>
  <c r="J7" i="30"/>
  <c r="I7" i="30"/>
  <c r="H7" i="30"/>
  <c r="G7" i="30"/>
  <c r="F7" i="30"/>
  <c r="E7" i="30"/>
  <c r="D7" i="30"/>
  <c r="C7" i="30"/>
  <c r="J6" i="30"/>
  <c r="I6" i="30"/>
  <c r="H6" i="30"/>
  <c r="G6" i="30"/>
  <c r="F6" i="30"/>
  <c r="E6" i="30"/>
  <c r="D6" i="30"/>
  <c r="C6" i="30"/>
  <c r="J5" i="30"/>
  <c r="I5" i="30"/>
  <c r="H5" i="30"/>
  <c r="G5" i="30"/>
  <c r="F5" i="30"/>
  <c r="E5" i="30"/>
  <c r="D5" i="30"/>
  <c r="C5" i="30"/>
  <c r="J4" i="30"/>
  <c r="I4" i="30"/>
  <c r="H4" i="30"/>
  <c r="G4" i="30"/>
  <c r="F4" i="30"/>
  <c r="E4" i="30"/>
  <c r="D4" i="30"/>
  <c r="C4" i="30"/>
  <c r="J3" i="30"/>
  <c r="I3" i="30"/>
  <c r="H3" i="30"/>
  <c r="G3" i="30"/>
  <c r="F3" i="30"/>
  <c r="E3" i="30"/>
  <c r="D3" i="30"/>
  <c r="C3" i="30"/>
  <c r="J2" i="30"/>
  <c r="I2" i="30"/>
  <c r="H2" i="30"/>
  <c r="G2" i="30"/>
  <c r="F2" i="30"/>
  <c r="E2" i="30"/>
  <c r="D2" i="30"/>
  <c r="C2" i="30"/>
  <c r="J22" i="29"/>
  <c r="J23" i="29" s="1"/>
  <c r="I22" i="29"/>
  <c r="I23" i="29" s="1"/>
  <c r="H22" i="29"/>
  <c r="H23" i="29" s="1"/>
  <c r="G22" i="29"/>
  <c r="G23" i="29" s="1"/>
  <c r="F22" i="29"/>
  <c r="F23" i="29" s="1"/>
  <c r="E22" i="29"/>
  <c r="E23" i="29" s="1"/>
  <c r="D22" i="29"/>
  <c r="D23" i="29" s="1"/>
  <c r="C22" i="29"/>
  <c r="C23" i="29" s="1"/>
  <c r="B16" i="29"/>
  <c r="B15" i="29"/>
  <c r="J7" i="29"/>
  <c r="I7" i="29"/>
  <c r="H7" i="29"/>
  <c r="G7" i="29"/>
  <c r="F7" i="29"/>
  <c r="E7" i="29"/>
  <c r="D7" i="29"/>
  <c r="C7" i="29"/>
  <c r="J6" i="29"/>
  <c r="I6" i="29"/>
  <c r="H6" i="29"/>
  <c r="G6" i="29"/>
  <c r="F6" i="29"/>
  <c r="E6" i="29"/>
  <c r="D6" i="29"/>
  <c r="C6" i="29"/>
  <c r="J5" i="29"/>
  <c r="I5" i="29"/>
  <c r="H5" i="29"/>
  <c r="G5" i="29"/>
  <c r="F5" i="29"/>
  <c r="E5" i="29"/>
  <c r="D5" i="29"/>
  <c r="C5" i="29"/>
  <c r="J4" i="29"/>
  <c r="I4" i="29"/>
  <c r="H4" i="29"/>
  <c r="G4" i="29"/>
  <c r="F4" i="29"/>
  <c r="E4" i="29"/>
  <c r="D4" i="29"/>
  <c r="C4" i="29"/>
  <c r="J3" i="29"/>
  <c r="I3" i="29"/>
  <c r="H3" i="29"/>
  <c r="G3" i="29"/>
  <c r="F3" i="29"/>
  <c r="E3" i="29"/>
  <c r="D3" i="29"/>
  <c r="C3" i="29"/>
  <c r="J2" i="29"/>
  <c r="I2" i="29"/>
  <c r="H2" i="29"/>
  <c r="G2" i="29"/>
  <c r="F2" i="29"/>
  <c r="E2" i="29"/>
  <c r="D2" i="29"/>
  <c r="C2" i="29"/>
  <c r="J22" i="28"/>
  <c r="J23" i="28" s="1"/>
  <c r="I22" i="28"/>
  <c r="I23" i="28" s="1"/>
  <c r="H22" i="28"/>
  <c r="H23" i="28" s="1"/>
  <c r="G22" i="28"/>
  <c r="G23" i="28" s="1"/>
  <c r="F22" i="28"/>
  <c r="F23" i="28" s="1"/>
  <c r="E22" i="28"/>
  <c r="E23" i="28" s="1"/>
  <c r="D22" i="28"/>
  <c r="D23" i="28" s="1"/>
  <c r="C22" i="28"/>
  <c r="C23" i="28" s="1"/>
  <c r="B16" i="28"/>
  <c r="B15" i="28"/>
  <c r="J9" i="28"/>
  <c r="I9" i="28"/>
  <c r="H9" i="28"/>
  <c r="G9" i="28"/>
  <c r="F9" i="28"/>
  <c r="E9" i="28"/>
  <c r="D9" i="28"/>
  <c r="C9" i="28"/>
  <c r="J8" i="28"/>
  <c r="I8" i="28"/>
  <c r="H8" i="28"/>
  <c r="G8" i="28"/>
  <c r="F8" i="28"/>
  <c r="E8" i="28"/>
  <c r="D8" i="28"/>
  <c r="C8" i="28"/>
  <c r="J7" i="28"/>
  <c r="I7" i="28"/>
  <c r="H7" i="28"/>
  <c r="G7" i="28"/>
  <c r="F7" i="28"/>
  <c r="E7" i="28"/>
  <c r="D7" i="28"/>
  <c r="C7" i="28"/>
  <c r="J6" i="28"/>
  <c r="I6" i="28"/>
  <c r="H6" i="28"/>
  <c r="G6" i="28"/>
  <c r="F6" i="28"/>
  <c r="E6" i="28"/>
  <c r="D6" i="28"/>
  <c r="C6" i="28"/>
  <c r="J5" i="28"/>
  <c r="I5" i="28"/>
  <c r="H5" i="28"/>
  <c r="G5" i="28"/>
  <c r="F5" i="28"/>
  <c r="E5" i="28"/>
  <c r="D5" i="28"/>
  <c r="C5" i="28"/>
  <c r="J4" i="28"/>
  <c r="I4" i="28"/>
  <c r="H4" i="28"/>
  <c r="G4" i="28"/>
  <c r="F4" i="28"/>
  <c r="E4" i="28"/>
  <c r="D4" i="28"/>
  <c r="C4" i="28"/>
  <c r="J3" i="28"/>
  <c r="I3" i="28"/>
  <c r="H3" i="28"/>
  <c r="G3" i="28"/>
  <c r="F3" i="28"/>
  <c r="E3" i="28"/>
  <c r="D3" i="28"/>
  <c r="C3" i="28"/>
  <c r="J2" i="28"/>
  <c r="I2" i="28"/>
  <c r="H2" i="28"/>
  <c r="G2" i="28"/>
  <c r="F2" i="28"/>
  <c r="E2" i="28"/>
  <c r="D2" i="28"/>
  <c r="C2" i="28"/>
  <c r="J9" i="27"/>
  <c r="I9" i="27"/>
  <c r="H9" i="27"/>
  <c r="G9" i="27"/>
  <c r="F9" i="27"/>
  <c r="E9" i="27"/>
  <c r="D9" i="27"/>
  <c r="C9" i="27"/>
  <c r="J8" i="27"/>
  <c r="I8" i="27"/>
  <c r="H8" i="27"/>
  <c r="G8" i="27"/>
  <c r="F8" i="27"/>
  <c r="E8" i="27"/>
  <c r="D8" i="27"/>
  <c r="C8" i="27"/>
  <c r="J7" i="27"/>
  <c r="I7" i="27"/>
  <c r="H7" i="27"/>
  <c r="G7" i="27"/>
  <c r="F7" i="27"/>
  <c r="E7" i="27"/>
  <c r="D7" i="27"/>
  <c r="C7" i="27"/>
  <c r="J22" i="27"/>
  <c r="J23" i="27" s="1"/>
  <c r="I22" i="27"/>
  <c r="I23" i="27" s="1"/>
  <c r="H22" i="27"/>
  <c r="H23" i="27" s="1"/>
  <c r="G22" i="27"/>
  <c r="G23" i="27" s="1"/>
  <c r="F22" i="27"/>
  <c r="F23" i="27" s="1"/>
  <c r="E22" i="27"/>
  <c r="E23" i="27" s="1"/>
  <c r="D22" i="27"/>
  <c r="D23" i="27" s="1"/>
  <c r="C22" i="27"/>
  <c r="C23" i="27" s="1"/>
  <c r="B16" i="27"/>
  <c r="B15" i="27"/>
  <c r="J6" i="27"/>
  <c r="I6" i="27"/>
  <c r="H6" i="27"/>
  <c r="G6" i="27"/>
  <c r="F6" i="27"/>
  <c r="E6" i="27"/>
  <c r="D6" i="27"/>
  <c r="C6" i="27"/>
  <c r="J5" i="27"/>
  <c r="I5" i="27"/>
  <c r="H5" i="27"/>
  <c r="G5" i="27"/>
  <c r="F5" i="27"/>
  <c r="E5" i="27"/>
  <c r="D5" i="27"/>
  <c r="C5" i="27"/>
  <c r="J4" i="27"/>
  <c r="I4" i="27"/>
  <c r="H4" i="27"/>
  <c r="G4" i="27"/>
  <c r="F4" i="27"/>
  <c r="E4" i="27"/>
  <c r="D4" i="27"/>
  <c r="C4" i="27"/>
  <c r="J3" i="27"/>
  <c r="I3" i="27"/>
  <c r="H3" i="27"/>
  <c r="G3" i="27"/>
  <c r="F3" i="27"/>
  <c r="E3" i="27"/>
  <c r="D3" i="27"/>
  <c r="C3" i="27"/>
  <c r="J2" i="27"/>
  <c r="I2" i="27"/>
  <c r="H2" i="27"/>
  <c r="G2" i="27"/>
  <c r="F2" i="27"/>
  <c r="E2" i="27"/>
  <c r="D2" i="27"/>
  <c r="C2" i="27"/>
  <c r="J22" i="26"/>
  <c r="J23" i="26" s="1"/>
  <c r="I22" i="26"/>
  <c r="I23" i="26" s="1"/>
  <c r="H22" i="26"/>
  <c r="H23" i="26" s="1"/>
  <c r="G22" i="26"/>
  <c r="G23" i="26" s="1"/>
  <c r="F22" i="26"/>
  <c r="F23" i="26" s="1"/>
  <c r="E22" i="26"/>
  <c r="E23" i="26" s="1"/>
  <c r="D22" i="26"/>
  <c r="D23" i="26" s="1"/>
  <c r="C22" i="26"/>
  <c r="C23" i="26" s="1"/>
  <c r="B16" i="26"/>
  <c r="B15" i="26"/>
  <c r="J6" i="26"/>
  <c r="I6" i="26"/>
  <c r="H6" i="26"/>
  <c r="G6" i="26"/>
  <c r="F6" i="26"/>
  <c r="E6" i="26"/>
  <c r="D6" i="26"/>
  <c r="C6" i="26"/>
  <c r="J5" i="26"/>
  <c r="I5" i="26"/>
  <c r="H5" i="26"/>
  <c r="G5" i="26"/>
  <c r="F5" i="26"/>
  <c r="E5" i="26"/>
  <c r="D5" i="26"/>
  <c r="C5" i="26"/>
  <c r="J4" i="26"/>
  <c r="I4" i="26"/>
  <c r="H4" i="26"/>
  <c r="G4" i="26"/>
  <c r="F4" i="26"/>
  <c r="E4" i="26"/>
  <c r="D4" i="26"/>
  <c r="C4" i="26"/>
  <c r="J3" i="26"/>
  <c r="I3" i="26"/>
  <c r="H3" i="26"/>
  <c r="G3" i="26"/>
  <c r="F3" i="26"/>
  <c r="E3" i="26"/>
  <c r="D3" i="26"/>
  <c r="C3" i="26"/>
  <c r="J2" i="26"/>
  <c r="I2" i="26"/>
  <c r="H2" i="26"/>
  <c r="G2" i="26"/>
  <c r="F2" i="26"/>
  <c r="E2" i="26"/>
  <c r="D2" i="26"/>
  <c r="C2" i="26"/>
  <c r="J22" i="25"/>
  <c r="J23" i="25" s="1"/>
  <c r="I22" i="25"/>
  <c r="I23" i="25" s="1"/>
  <c r="H22" i="25"/>
  <c r="H23" i="25" s="1"/>
  <c r="G22" i="25"/>
  <c r="G23" i="25" s="1"/>
  <c r="F22" i="25"/>
  <c r="F23" i="25" s="1"/>
  <c r="E22" i="25"/>
  <c r="E23" i="25" s="1"/>
  <c r="D22" i="25"/>
  <c r="D23" i="25" s="1"/>
  <c r="C22" i="25"/>
  <c r="C23" i="25" s="1"/>
  <c r="B16" i="25"/>
  <c r="B15" i="25"/>
  <c r="J6" i="25"/>
  <c r="I6" i="25"/>
  <c r="H6" i="25"/>
  <c r="G6" i="25"/>
  <c r="F6" i="25"/>
  <c r="E6" i="25"/>
  <c r="D6" i="25"/>
  <c r="C6" i="25"/>
  <c r="J5" i="25"/>
  <c r="I5" i="25"/>
  <c r="H5" i="25"/>
  <c r="G5" i="25"/>
  <c r="F5" i="25"/>
  <c r="E5" i="25"/>
  <c r="D5" i="25"/>
  <c r="C5" i="25"/>
  <c r="J4" i="25"/>
  <c r="I4" i="25"/>
  <c r="H4" i="25"/>
  <c r="G4" i="25"/>
  <c r="F4" i="25"/>
  <c r="E4" i="25"/>
  <c r="D4" i="25"/>
  <c r="C4" i="25"/>
  <c r="J3" i="25"/>
  <c r="I3" i="25"/>
  <c r="H3" i="25"/>
  <c r="G3" i="25"/>
  <c r="F3" i="25"/>
  <c r="E3" i="25"/>
  <c r="D3" i="25"/>
  <c r="C3" i="25"/>
  <c r="J2" i="25"/>
  <c r="I2" i="25"/>
  <c r="H2" i="25"/>
  <c r="G2" i="25"/>
  <c r="F2" i="25"/>
  <c r="E2" i="25"/>
  <c r="D2" i="25"/>
  <c r="C2" i="25"/>
  <c r="J9" i="24"/>
  <c r="I9" i="24"/>
  <c r="H9" i="24"/>
  <c r="G9" i="24"/>
  <c r="F9" i="24"/>
  <c r="E9" i="24"/>
  <c r="D9" i="24"/>
  <c r="C9" i="24"/>
  <c r="J22" i="24"/>
  <c r="J23" i="24" s="1"/>
  <c r="I22" i="24"/>
  <c r="I23" i="24" s="1"/>
  <c r="H22" i="24"/>
  <c r="H23" i="24" s="1"/>
  <c r="G22" i="24"/>
  <c r="G23" i="24" s="1"/>
  <c r="F22" i="24"/>
  <c r="F23" i="24" s="1"/>
  <c r="E22" i="24"/>
  <c r="E23" i="24" s="1"/>
  <c r="D22" i="24"/>
  <c r="D23" i="24" s="1"/>
  <c r="C22" i="24"/>
  <c r="C23" i="24" s="1"/>
  <c r="B16" i="24"/>
  <c r="B15" i="24"/>
  <c r="J8" i="24"/>
  <c r="I8" i="24"/>
  <c r="H8" i="24"/>
  <c r="G8" i="24"/>
  <c r="F8" i="24"/>
  <c r="E8" i="24"/>
  <c r="D8" i="24"/>
  <c r="C8" i="24"/>
  <c r="J7" i="24"/>
  <c r="I7" i="24"/>
  <c r="H7" i="24"/>
  <c r="G7" i="24"/>
  <c r="F7" i="24"/>
  <c r="E7" i="24"/>
  <c r="D7" i="24"/>
  <c r="C7" i="24"/>
  <c r="J6" i="24"/>
  <c r="I6" i="24"/>
  <c r="H6" i="24"/>
  <c r="G6" i="24"/>
  <c r="F6" i="24"/>
  <c r="E6" i="24"/>
  <c r="D6" i="24"/>
  <c r="C6" i="24"/>
  <c r="J5" i="24"/>
  <c r="I5" i="24"/>
  <c r="H5" i="24"/>
  <c r="G5" i="24"/>
  <c r="F5" i="24"/>
  <c r="E5" i="24"/>
  <c r="D5" i="24"/>
  <c r="C5" i="24"/>
  <c r="J4" i="24"/>
  <c r="I4" i="24"/>
  <c r="H4" i="24"/>
  <c r="G4" i="24"/>
  <c r="F4" i="24"/>
  <c r="E4" i="24"/>
  <c r="D4" i="24"/>
  <c r="C4" i="24"/>
  <c r="J3" i="24"/>
  <c r="I3" i="24"/>
  <c r="H3" i="24"/>
  <c r="G3" i="24"/>
  <c r="F3" i="24"/>
  <c r="E3" i="24"/>
  <c r="D3" i="24"/>
  <c r="C3" i="24"/>
  <c r="J2" i="24"/>
  <c r="I2" i="24"/>
  <c r="H2" i="24"/>
  <c r="G2" i="24"/>
  <c r="F2" i="24"/>
  <c r="E2" i="24"/>
  <c r="D2" i="24"/>
  <c r="C2" i="24"/>
  <c r="J9" i="23"/>
  <c r="I9" i="23"/>
  <c r="H9" i="23"/>
  <c r="G9" i="23"/>
  <c r="F9" i="23"/>
  <c r="E9" i="23"/>
  <c r="D9" i="23"/>
  <c r="C9" i="23"/>
  <c r="J22" i="23"/>
  <c r="J23" i="23" s="1"/>
  <c r="I22" i="23"/>
  <c r="I23" i="23" s="1"/>
  <c r="H22" i="23"/>
  <c r="H23" i="23" s="1"/>
  <c r="G22" i="23"/>
  <c r="G23" i="23" s="1"/>
  <c r="F22" i="23"/>
  <c r="F23" i="23" s="1"/>
  <c r="E22" i="23"/>
  <c r="E23" i="23" s="1"/>
  <c r="D22" i="23"/>
  <c r="D23" i="23" s="1"/>
  <c r="C22" i="23"/>
  <c r="C23" i="23" s="1"/>
  <c r="B16" i="23"/>
  <c r="B15" i="23"/>
  <c r="J8" i="23"/>
  <c r="I8" i="23"/>
  <c r="H8" i="23"/>
  <c r="G8" i="23"/>
  <c r="F8" i="23"/>
  <c r="E8" i="23"/>
  <c r="D8" i="23"/>
  <c r="C8" i="23"/>
  <c r="J7" i="23"/>
  <c r="I7" i="23"/>
  <c r="H7" i="23"/>
  <c r="G7" i="23"/>
  <c r="F7" i="23"/>
  <c r="E7" i="23"/>
  <c r="D7" i="23"/>
  <c r="C7" i="23"/>
  <c r="J6" i="23"/>
  <c r="I6" i="23"/>
  <c r="H6" i="23"/>
  <c r="G6" i="23"/>
  <c r="F6" i="23"/>
  <c r="E6" i="23"/>
  <c r="D6" i="23"/>
  <c r="C6" i="23"/>
  <c r="J5" i="23"/>
  <c r="I5" i="23"/>
  <c r="H5" i="23"/>
  <c r="G5" i="23"/>
  <c r="F5" i="23"/>
  <c r="E5" i="23"/>
  <c r="D5" i="23"/>
  <c r="C5" i="23"/>
  <c r="J4" i="23"/>
  <c r="I4" i="23"/>
  <c r="H4" i="23"/>
  <c r="G4" i="23"/>
  <c r="F4" i="23"/>
  <c r="E4" i="23"/>
  <c r="D4" i="23"/>
  <c r="C4" i="23"/>
  <c r="J3" i="23"/>
  <c r="I3" i="23"/>
  <c r="H3" i="23"/>
  <c r="G3" i="23"/>
  <c r="F3" i="23"/>
  <c r="E3" i="23"/>
  <c r="D3" i="23"/>
  <c r="C3" i="23"/>
  <c r="J2" i="23"/>
  <c r="I2" i="23"/>
  <c r="H2" i="23"/>
  <c r="G2" i="23"/>
  <c r="F2" i="23"/>
  <c r="E2" i="23"/>
  <c r="D2" i="23"/>
  <c r="C2" i="23"/>
  <c r="J22" i="22"/>
  <c r="J23" i="22" s="1"/>
  <c r="I22" i="22"/>
  <c r="I23" i="22" s="1"/>
  <c r="H22" i="22"/>
  <c r="H23" i="22" s="1"/>
  <c r="G22" i="22"/>
  <c r="G23" i="22" s="1"/>
  <c r="F22" i="22"/>
  <c r="F23" i="22" s="1"/>
  <c r="E22" i="22"/>
  <c r="E23" i="22" s="1"/>
  <c r="D22" i="22"/>
  <c r="D23" i="22" s="1"/>
  <c r="C22" i="22"/>
  <c r="C23" i="22" s="1"/>
  <c r="B16" i="22"/>
  <c r="B15" i="22"/>
  <c r="J8" i="22"/>
  <c r="I8" i="22"/>
  <c r="H8" i="22"/>
  <c r="G8" i="22"/>
  <c r="F8" i="22"/>
  <c r="E8" i="22"/>
  <c r="D8" i="22"/>
  <c r="C8" i="22"/>
  <c r="J7" i="22"/>
  <c r="I7" i="22"/>
  <c r="H7" i="22"/>
  <c r="G7" i="22"/>
  <c r="F7" i="22"/>
  <c r="E7" i="22"/>
  <c r="D7" i="22"/>
  <c r="C7" i="22"/>
  <c r="J6" i="22"/>
  <c r="I6" i="22"/>
  <c r="H6" i="22"/>
  <c r="G6" i="22"/>
  <c r="F6" i="22"/>
  <c r="E6" i="22"/>
  <c r="D6" i="22"/>
  <c r="C6" i="22"/>
  <c r="J5" i="22"/>
  <c r="I5" i="22"/>
  <c r="H5" i="22"/>
  <c r="G5" i="22"/>
  <c r="F5" i="22"/>
  <c r="E5" i="22"/>
  <c r="D5" i="22"/>
  <c r="C5" i="22"/>
  <c r="J4" i="22"/>
  <c r="I4" i="22"/>
  <c r="H4" i="22"/>
  <c r="G4" i="22"/>
  <c r="F4" i="22"/>
  <c r="E4" i="22"/>
  <c r="D4" i="22"/>
  <c r="C4" i="22"/>
  <c r="J3" i="22"/>
  <c r="I3" i="22"/>
  <c r="H3" i="22"/>
  <c r="G3" i="22"/>
  <c r="F3" i="22"/>
  <c r="E3" i="22"/>
  <c r="D3" i="22"/>
  <c r="C3" i="22"/>
  <c r="J2" i="22"/>
  <c r="I2" i="22"/>
  <c r="H2" i="22"/>
  <c r="G2" i="22"/>
  <c r="F2" i="22"/>
  <c r="E2" i="22"/>
  <c r="D2" i="22"/>
  <c r="C2" i="22"/>
  <c r="J22" i="21"/>
  <c r="J23" i="21" s="1"/>
  <c r="I22" i="21"/>
  <c r="I23" i="21" s="1"/>
  <c r="H22" i="21"/>
  <c r="H23" i="21" s="1"/>
  <c r="G22" i="21"/>
  <c r="G23" i="21" s="1"/>
  <c r="F22" i="21"/>
  <c r="F23" i="21" s="1"/>
  <c r="E22" i="21"/>
  <c r="E23" i="21" s="1"/>
  <c r="D22" i="21"/>
  <c r="D23" i="21" s="1"/>
  <c r="C22" i="21"/>
  <c r="C23" i="21" s="1"/>
  <c r="B16" i="21"/>
  <c r="B15" i="21"/>
  <c r="J8" i="21"/>
  <c r="I8" i="21"/>
  <c r="H8" i="21"/>
  <c r="G8" i="21"/>
  <c r="F8" i="21"/>
  <c r="E8" i="21"/>
  <c r="D8" i="21"/>
  <c r="C8" i="21"/>
  <c r="J7" i="21"/>
  <c r="I7" i="21"/>
  <c r="H7" i="21"/>
  <c r="G7" i="21"/>
  <c r="F7" i="21"/>
  <c r="E7" i="21"/>
  <c r="D7" i="21"/>
  <c r="C7" i="21"/>
  <c r="J6" i="21"/>
  <c r="I6" i="21"/>
  <c r="H6" i="21"/>
  <c r="G6" i="21"/>
  <c r="F6" i="21"/>
  <c r="E6" i="21"/>
  <c r="D6" i="21"/>
  <c r="C6" i="21"/>
  <c r="J5" i="21"/>
  <c r="I5" i="21"/>
  <c r="H5" i="21"/>
  <c r="G5" i="21"/>
  <c r="F5" i="21"/>
  <c r="E5" i="21"/>
  <c r="D5" i="21"/>
  <c r="C5" i="21"/>
  <c r="J4" i="21"/>
  <c r="I4" i="21"/>
  <c r="H4" i="21"/>
  <c r="G4" i="21"/>
  <c r="F4" i="21"/>
  <c r="E4" i="21"/>
  <c r="D4" i="21"/>
  <c r="C4" i="21"/>
  <c r="J3" i="21"/>
  <c r="I3" i="21"/>
  <c r="H3" i="21"/>
  <c r="G3" i="21"/>
  <c r="F3" i="21"/>
  <c r="E3" i="21"/>
  <c r="D3" i="21"/>
  <c r="C3" i="21"/>
  <c r="J2" i="21"/>
  <c r="I2" i="21"/>
  <c r="H2" i="21"/>
  <c r="G2" i="21"/>
  <c r="F2" i="21"/>
  <c r="E2" i="21"/>
  <c r="D2" i="21"/>
  <c r="C2" i="21"/>
  <c r="J22" i="20"/>
  <c r="J23" i="20" s="1"/>
  <c r="I22" i="20"/>
  <c r="I23" i="20" s="1"/>
  <c r="H22" i="20"/>
  <c r="H23" i="20" s="1"/>
  <c r="G22" i="20"/>
  <c r="G23" i="20" s="1"/>
  <c r="F22" i="20"/>
  <c r="F23" i="20" s="1"/>
  <c r="E22" i="20"/>
  <c r="E23" i="20" s="1"/>
  <c r="D22" i="20"/>
  <c r="D23" i="20" s="1"/>
  <c r="C22" i="20"/>
  <c r="C23" i="20" s="1"/>
  <c r="B16" i="20"/>
  <c r="B15" i="20"/>
  <c r="J8" i="20"/>
  <c r="I8" i="20"/>
  <c r="H8" i="20"/>
  <c r="G8" i="20"/>
  <c r="F8" i="20"/>
  <c r="E8" i="20"/>
  <c r="D8" i="20"/>
  <c r="C8" i="20"/>
  <c r="J7" i="20"/>
  <c r="I7" i="20"/>
  <c r="H7" i="20"/>
  <c r="G7" i="20"/>
  <c r="F7" i="20"/>
  <c r="E7" i="20"/>
  <c r="D7" i="20"/>
  <c r="C7" i="20"/>
  <c r="J6" i="20"/>
  <c r="I6" i="20"/>
  <c r="H6" i="20"/>
  <c r="G6" i="20"/>
  <c r="F6" i="20"/>
  <c r="E6" i="20"/>
  <c r="D6" i="20"/>
  <c r="C6" i="20"/>
  <c r="J5" i="20"/>
  <c r="I5" i="20"/>
  <c r="H5" i="20"/>
  <c r="G5" i="20"/>
  <c r="F5" i="20"/>
  <c r="E5" i="20"/>
  <c r="D5" i="20"/>
  <c r="C5" i="20"/>
  <c r="J4" i="20"/>
  <c r="I4" i="20"/>
  <c r="H4" i="20"/>
  <c r="G4" i="20"/>
  <c r="F4" i="20"/>
  <c r="E4" i="20"/>
  <c r="D4" i="20"/>
  <c r="C4" i="20"/>
  <c r="J3" i="20"/>
  <c r="J16" i="20" s="1"/>
  <c r="I3" i="20"/>
  <c r="H3" i="20"/>
  <c r="G3" i="20"/>
  <c r="F3" i="20"/>
  <c r="E3" i="20"/>
  <c r="D3" i="20"/>
  <c r="C3" i="20"/>
  <c r="J2" i="20"/>
  <c r="I2" i="20"/>
  <c r="H2" i="20"/>
  <c r="G2" i="20"/>
  <c r="F2" i="20"/>
  <c r="E2" i="20"/>
  <c r="D2" i="20"/>
  <c r="C2" i="20"/>
  <c r="J22" i="19"/>
  <c r="J23" i="19" s="1"/>
  <c r="I22" i="19"/>
  <c r="I23" i="19" s="1"/>
  <c r="H22" i="19"/>
  <c r="H23" i="19" s="1"/>
  <c r="G22" i="19"/>
  <c r="G23" i="19" s="1"/>
  <c r="F22" i="19"/>
  <c r="F23" i="19" s="1"/>
  <c r="E22" i="19"/>
  <c r="E23" i="19" s="1"/>
  <c r="D22" i="19"/>
  <c r="D23" i="19" s="1"/>
  <c r="C22" i="19"/>
  <c r="C23" i="19" s="1"/>
  <c r="B16" i="19"/>
  <c r="B15" i="19"/>
  <c r="J8" i="19"/>
  <c r="I8" i="19"/>
  <c r="H8" i="19"/>
  <c r="G8" i="19"/>
  <c r="F8" i="19"/>
  <c r="E8" i="19"/>
  <c r="D8" i="19"/>
  <c r="C8" i="19"/>
  <c r="J7" i="19"/>
  <c r="I7" i="19"/>
  <c r="H7" i="19"/>
  <c r="G7" i="19"/>
  <c r="F7" i="19"/>
  <c r="E7" i="19"/>
  <c r="D7" i="19"/>
  <c r="C7" i="19"/>
  <c r="J6" i="19"/>
  <c r="I6" i="19"/>
  <c r="H6" i="19"/>
  <c r="G6" i="19"/>
  <c r="F6" i="19"/>
  <c r="E6" i="19"/>
  <c r="D6" i="19"/>
  <c r="C6" i="19"/>
  <c r="J5" i="19"/>
  <c r="I5" i="19"/>
  <c r="H5" i="19"/>
  <c r="G5" i="19"/>
  <c r="F5" i="19"/>
  <c r="E5" i="19"/>
  <c r="D5" i="19"/>
  <c r="C5" i="19"/>
  <c r="J4" i="19"/>
  <c r="I4" i="19"/>
  <c r="H4" i="19"/>
  <c r="G4" i="19"/>
  <c r="F4" i="19"/>
  <c r="E4" i="19"/>
  <c r="D4" i="19"/>
  <c r="C4" i="19"/>
  <c r="J3" i="19"/>
  <c r="I3" i="19"/>
  <c r="H3" i="19"/>
  <c r="G3" i="19"/>
  <c r="F3" i="19"/>
  <c r="E3" i="19"/>
  <c r="D3" i="19"/>
  <c r="C3" i="19"/>
  <c r="J2" i="19"/>
  <c r="I2" i="19"/>
  <c r="H2" i="19"/>
  <c r="G2" i="19"/>
  <c r="F2" i="19"/>
  <c r="E2" i="19"/>
  <c r="D2" i="19"/>
  <c r="C2" i="19"/>
  <c r="J22" i="18"/>
  <c r="J23" i="18" s="1"/>
  <c r="I22" i="18"/>
  <c r="I23" i="18" s="1"/>
  <c r="H22" i="18"/>
  <c r="H23" i="18" s="1"/>
  <c r="G22" i="18"/>
  <c r="G23" i="18" s="1"/>
  <c r="F22" i="18"/>
  <c r="F23" i="18" s="1"/>
  <c r="E22" i="18"/>
  <c r="E23" i="18" s="1"/>
  <c r="D22" i="18"/>
  <c r="D23" i="18" s="1"/>
  <c r="C22" i="18"/>
  <c r="C23" i="18" s="1"/>
  <c r="B16" i="18"/>
  <c r="B15" i="18"/>
  <c r="J8" i="18"/>
  <c r="I8" i="18"/>
  <c r="H8" i="18"/>
  <c r="G8" i="18"/>
  <c r="F8" i="18"/>
  <c r="E8" i="18"/>
  <c r="D8" i="18"/>
  <c r="C8" i="18"/>
  <c r="J7" i="18"/>
  <c r="I7" i="18"/>
  <c r="H7" i="18"/>
  <c r="G7" i="18"/>
  <c r="F7" i="18"/>
  <c r="E7" i="18"/>
  <c r="D7" i="18"/>
  <c r="C7" i="18"/>
  <c r="J6" i="18"/>
  <c r="I6" i="18"/>
  <c r="H6" i="18"/>
  <c r="G6" i="18"/>
  <c r="F6" i="18"/>
  <c r="E6" i="18"/>
  <c r="D6" i="18"/>
  <c r="C6" i="18"/>
  <c r="J5" i="18"/>
  <c r="I5" i="18"/>
  <c r="H5" i="18"/>
  <c r="G5" i="18"/>
  <c r="F5" i="18"/>
  <c r="E5" i="18"/>
  <c r="D5" i="18"/>
  <c r="C5" i="18"/>
  <c r="J4" i="18"/>
  <c r="I4" i="18"/>
  <c r="H4" i="18"/>
  <c r="G4" i="18"/>
  <c r="F4" i="18"/>
  <c r="E4" i="18"/>
  <c r="D4" i="18"/>
  <c r="C4" i="18"/>
  <c r="J3" i="18"/>
  <c r="I3" i="18"/>
  <c r="H3" i="18"/>
  <c r="G3" i="18"/>
  <c r="F3" i="18"/>
  <c r="E3" i="18"/>
  <c r="D3" i="18"/>
  <c r="C3" i="18"/>
  <c r="J2" i="18"/>
  <c r="I2" i="18"/>
  <c r="H2" i="18"/>
  <c r="G2" i="18"/>
  <c r="F2" i="18"/>
  <c r="E2" i="18"/>
  <c r="D2" i="18"/>
  <c r="C2" i="18"/>
  <c r="J22" i="17"/>
  <c r="J23" i="17" s="1"/>
  <c r="I22" i="17"/>
  <c r="I23" i="17" s="1"/>
  <c r="H22" i="17"/>
  <c r="H23" i="17" s="1"/>
  <c r="G22" i="17"/>
  <c r="G23" i="17" s="1"/>
  <c r="F22" i="17"/>
  <c r="F23" i="17" s="1"/>
  <c r="E22" i="17"/>
  <c r="E23" i="17" s="1"/>
  <c r="D22" i="17"/>
  <c r="D23" i="17" s="1"/>
  <c r="C22" i="17"/>
  <c r="C23" i="17" s="1"/>
  <c r="B16" i="17"/>
  <c r="B15" i="17"/>
  <c r="J8" i="17"/>
  <c r="I8" i="17"/>
  <c r="H8" i="17"/>
  <c r="G8" i="17"/>
  <c r="F8" i="17"/>
  <c r="E8" i="17"/>
  <c r="D8" i="17"/>
  <c r="C8" i="17"/>
  <c r="J7" i="17"/>
  <c r="I7" i="17"/>
  <c r="H7" i="17"/>
  <c r="G7" i="17"/>
  <c r="F7" i="17"/>
  <c r="E7" i="17"/>
  <c r="D7" i="17"/>
  <c r="C7" i="17"/>
  <c r="J6" i="17"/>
  <c r="I6" i="17"/>
  <c r="H6" i="17"/>
  <c r="G6" i="17"/>
  <c r="F6" i="17"/>
  <c r="E6" i="17"/>
  <c r="D6" i="17"/>
  <c r="C6" i="17"/>
  <c r="J5" i="17"/>
  <c r="I5" i="17"/>
  <c r="H5" i="17"/>
  <c r="G5" i="17"/>
  <c r="F5" i="17"/>
  <c r="E5" i="17"/>
  <c r="D5" i="17"/>
  <c r="C5" i="17"/>
  <c r="J4" i="17"/>
  <c r="I4" i="17"/>
  <c r="H4" i="17"/>
  <c r="G4" i="17"/>
  <c r="F4" i="17"/>
  <c r="E4" i="17"/>
  <c r="D4" i="17"/>
  <c r="C4" i="17"/>
  <c r="J3" i="17"/>
  <c r="I3" i="17"/>
  <c r="H3" i="17"/>
  <c r="G3" i="17"/>
  <c r="F3" i="17"/>
  <c r="E3" i="17"/>
  <c r="D3" i="17"/>
  <c r="C3" i="17"/>
  <c r="J2" i="17"/>
  <c r="I2" i="17"/>
  <c r="H2" i="17"/>
  <c r="G2" i="17"/>
  <c r="F2" i="17"/>
  <c r="E2" i="17"/>
  <c r="D2" i="17"/>
  <c r="C2" i="17"/>
  <c r="J22" i="16"/>
  <c r="J23" i="16" s="1"/>
  <c r="I22" i="16"/>
  <c r="I23" i="16" s="1"/>
  <c r="H22" i="16"/>
  <c r="H23" i="16" s="1"/>
  <c r="G22" i="16"/>
  <c r="G23" i="16" s="1"/>
  <c r="F22" i="16"/>
  <c r="F23" i="16" s="1"/>
  <c r="E22" i="16"/>
  <c r="E23" i="16" s="1"/>
  <c r="D22" i="16"/>
  <c r="D23" i="16" s="1"/>
  <c r="C22" i="16"/>
  <c r="C23" i="16" s="1"/>
  <c r="B16" i="16"/>
  <c r="B15" i="16"/>
  <c r="J9" i="16"/>
  <c r="I9" i="16"/>
  <c r="H9" i="16"/>
  <c r="G9" i="16"/>
  <c r="F9" i="16"/>
  <c r="E9" i="16"/>
  <c r="D9" i="16"/>
  <c r="C9" i="16"/>
  <c r="J8" i="16"/>
  <c r="I8" i="16"/>
  <c r="H8" i="16"/>
  <c r="G8" i="16"/>
  <c r="F8" i="16"/>
  <c r="E8" i="16"/>
  <c r="D8" i="16"/>
  <c r="C8" i="16"/>
  <c r="J7" i="16"/>
  <c r="I7" i="16"/>
  <c r="H7" i="16"/>
  <c r="G7" i="16"/>
  <c r="F7" i="16"/>
  <c r="E7" i="16"/>
  <c r="D7" i="16"/>
  <c r="C7" i="16"/>
  <c r="J6" i="16"/>
  <c r="I6" i="16"/>
  <c r="H6" i="16"/>
  <c r="G6" i="16"/>
  <c r="F6" i="16"/>
  <c r="E6" i="16"/>
  <c r="D6" i="16"/>
  <c r="C6" i="16"/>
  <c r="J5" i="16"/>
  <c r="I5" i="16"/>
  <c r="H5" i="16"/>
  <c r="G5" i="16"/>
  <c r="F5" i="16"/>
  <c r="E5" i="16"/>
  <c r="D5" i="16"/>
  <c r="C5" i="16"/>
  <c r="J4" i="16"/>
  <c r="I4" i="16"/>
  <c r="H4" i="16"/>
  <c r="G4" i="16"/>
  <c r="F4" i="16"/>
  <c r="E4" i="16"/>
  <c r="D4" i="16"/>
  <c r="C4" i="16"/>
  <c r="J3" i="16"/>
  <c r="I3" i="16"/>
  <c r="H3" i="16"/>
  <c r="G3" i="16"/>
  <c r="F3" i="16"/>
  <c r="E3" i="16"/>
  <c r="D3" i="16"/>
  <c r="C3" i="16"/>
  <c r="J2" i="16"/>
  <c r="I2" i="16"/>
  <c r="H2" i="16"/>
  <c r="G2" i="16"/>
  <c r="F2" i="16"/>
  <c r="E2" i="16"/>
  <c r="D2" i="16"/>
  <c r="C2" i="16"/>
  <c r="J22" i="15"/>
  <c r="J23" i="15" s="1"/>
  <c r="I22" i="15"/>
  <c r="I23" i="15" s="1"/>
  <c r="H22" i="15"/>
  <c r="H23" i="15" s="1"/>
  <c r="G22" i="15"/>
  <c r="G23" i="15" s="1"/>
  <c r="F22" i="15"/>
  <c r="F23" i="15" s="1"/>
  <c r="E22" i="15"/>
  <c r="E23" i="15" s="1"/>
  <c r="D22" i="15"/>
  <c r="D23" i="15" s="1"/>
  <c r="C22" i="15"/>
  <c r="C23" i="15" s="1"/>
  <c r="B16" i="15"/>
  <c r="B15" i="15"/>
  <c r="J9" i="15"/>
  <c r="I9" i="15"/>
  <c r="H9" i="15"/>
  <c r="G9" i="15"/>
  <c r="F9" i="15"/>
  <c r="E9" i="15"/>
  <c r="D9" i="15"/>
  <c r="C9" i="15"/>
  <c r="J8" i="15"/>
  <c r="I8" i="15"/>
  <c r="H8" i="15"/>
  <c r="G8" i="15"/>
  <c r="F8" i="15"/>
  <c r="E8" i="15"/>
  <c r="D8" i="15"/>
  <c r="C8" i="15"/>
  <c r="J7" i="15"/>
  <c r="I7" i="15"/>
  <c r="H7" i="15"/>
  <c r="G7" i="15"/>
  <c r="F7" i="15"/>
  <c r="E7" i="15"/>
  <c r="D7" i="15"/>
  <c r="C7" i="15"/>
  <c r="J6" i="15"/>
  <c r="I6" i="15"/>
  <c r="H6" i="15"/>
  <c r="G6" i="15"/>
  <c r="F6" i="15"/>
  <c r="E6" i="15"/>
  <c r="D6" i="15"/>
  <c r="C6" i="15"/>
  <c r="J5" i="15"/>
  <c r="I5" i="15"/>
  <c r="H5" i="15"/>
  <c r="G5" i="15"/>
  <c r="F5" i="15"/>
  <c r="E5" i="15"/>
  <c r="D5" i="15"/>
  <c r="C5" i="15"/>
  <c r="J4" i="15"/>
  <c r="I4" i="15"/>
  <c r="H4" i="15"/>
  <c r="G4" i="15"/>
  <c r="F4" i="15"/>
  <c r="E4" i="15"/>
  <c r="D4" i="15"/>
  <c r="C4" i="15"/>
  <c r="J3" i="15"/>
  <c r="I3" i="15"/>
  <c r="H3" i="15"/>
  <c r="G3" i="15"/>
  <c r="F3" i="15"/>
  <c r="E3" i="15"/>
  <c r="D3" i="15"/>
  <c r="C3" i="15"/>
  <c r="J2" i="15"/>
  <c r="I2" i="15"/>
  <c r="H2" i="15"/>
  <c r="G2" i="15"/>
  <c r="F2" i="15"/>
  <c r="E2" i="15"/>
  <c r="D2" i="15"/>
  <c r="C2" i="15"/>
  <c r="J22" i="14"/>
  <c r="J23" i="14" s="1"/>
  <c r="I22" i="14"/>
  <c r="I23" i="14" s="1"/>
  <c r="H22" i="14"/>
  <c r="H23" i="14" s="1"/>
  <c r="G22" i="14"/>
  <c r="G23" i="14" s="1"/>
  <c r="F22" i="14"/>
  <c r="F23" i="14" s="1"/>
  <c r="E22" i="14"/>
  <c r="E23" i="14" s="1"/>
  <c r="D22" i="14"/>
  <c r="D23" i="14" s="1"/>
  <c r="C22" i="14"/>
  <c r="C23" i="14" s="1"/>
  <c r="B16" i="14"/>
  <c r="B15" i="14"/>
  <c r="J9" i="14"/>
  <c r="I9" i="14"/>
  <c r="H9" i="14"/>
  <c r="G9" i="14"/>
  <c r="F9" i="14"/>
  <c r="E9" i="14"/>
  <c r="D9" i="14"/>
  <c r="C9" i="14"/>
  <c r="J8" i="14"/>
  <c r="I8" i="14"/>
  <c r="H8" i="14"/>
  <c r="G8" i="14"/>
  <c r="F8" i="14"/>
  <c r="E8" i="14"/>
  <c r="D8" i="14"/>
  <c r="C8" i="14"/>
  <c r="J7" i="14"/>
  <c r="I7" i="14"/>
  <c r="H7" i="14"/>
  <c r="G7" i="14"/>
  <c r="F7" i="14"/>
  <c r="E7" i="14"/>
  <c r="D7" i="14"/>
  <c r="C7" i="14"/>
  <c r="J6" i="14"/>
  <c r="I6" i="14"/>
  <c r="H6" i="14"/>
  <c r="G6" i="14"/>
  <c r="F6" i="14"/>
  <c r="E6" i="14"/>
  <c r="D6" i="14"/>
  <c r="C6" i="14"/>
  <c r="J5" i="14"/>
  <c r="I5" i="14"/>
  <c r="H5" i="14"/>
  <c r="G5" i="14"/>
  <c r="F5" i="14"/>
  <c r="E5" i="14"/>
  <c r="D5" i="14"/>
  <c r="C5" i="14"/>
  <c r="J4" i="14"/>
  <c r="I4" i="14"/>
  <c r="H4" i="14"/>
  <c r="G4" i="14"/>
  <c r="F4" i="14"/>
  <c r="E4" i="14"/>
  <c r="D4" i="14"/>
  <c r="C4" i="14"/>
  <c r="J3" i="14"/>
  <c r="I3" i="14"/>
  <c r="H3" i="14"/>
  <c r="G3" i="14"/>
  <c r="F3" i="14"/>
  <c r="E3" i="14"/>
  <c r="D3" i="14"/>
  <c r="C3" i="14"/>
  <c r="J2" i="14"/>
  <c r="I2" i="14"/>
  <c r="H2" i="14"/>
  <c r="G2" i="14"/>
  <c r="F2" i="14"/>
  <c r="E2" i="14"/>
  <c r="D2" i="14"/>
  <c r="C2" i="14"/>
  <c r="J22" i="13"/>
  <c r="J23" i="13" s="1"/>
  <c r="I22" i="13"/>
  <c r="I23" i="13" s="1"/>
  <c r="H22" i="13"/>
  <c r="H23" i="13" s="1"/>
  <c r="G22" i="13"/>
  <c r="G23" i="13" s="1"/>
  <c r="F22" i="13"/>
  <c r="F23" i="13" s="1"/>
  <c r="E22" i="13"/>
  <c r="E23" i="13" s="1"/>
  <c r="D22" i="13"/>
  <c r="D23" i="13" s="1"/>
  <c r="C22" i="13"/>
  <c r="C23" i="13" s="1"/>
  <c r="B16" i="13"/>
  <c r="B15" i="13"/>
  <c r="J9" i="13"/>
  <c r="I9" i="13"/>
  <c r="H9" i="13"/>
  <c r="G9" i="13"/>
  <c r="F9" i="13"/>
  <c r="E9" i="13"/>
  <c r="D9" i="13"/>
  <c r="C9" i="13"/>
  <c r="J8" i="13"/>
  <c r="I8" i="13"/>
  <c r="H8" i="13"/>
  <c r="G8" i="13"/>
  <c r="F8" i="13"/>
  <c r="E8" i="13"/>
  <c r="D8" i="13"/>
  <c r="C8" i="13"/>
  <c r="J7" i="13"/>
  <c r="I7" i="13"/>
  <c r="H7" i="13"/>
  <c r="G7" i="13"/>
  <c r="F7" i="13"/>
  <c r="E7" i="13"/>
  <c r="D7" i="13"/>
  <c r="C7" i="13"/>
  <c r="J6" i="13"/>
  <c r="I6" i="13"/>
  <c r="H6" i="13"/>
  <c r="G6" i="13"/>
  <c r="F6" i="13"/>
  <c r="E6" i="13"/>
  <c r="D6" i="13"/>
  <c r="C6" i="13"/>
  <c r="J5" i="13"/>
  <c r="I5" i="13"/>
  <c r="H5" i="13"/>
  <c r="G5" i="13"/>
  <c r="F5" i="13"/>
  <c r="E5" i="13"/>
  <c r="D5" i="13"/>
  <c r="C5" i="13"/>
  <c r="J4" i="13"/>
  <c r="I4" i="13"/>
  <c r="H4" i="13"/>
  <c r="G4" i="13"/>
  <c r="F4" i="13"/>
  <c r="E4" i="13"/>
  <c r="D4" i="13"/>
  <c r="C4" i="13"/>
  <c r="J3" i="13"/>
  <c r="I3" i="13"/>
  <c r="H3" i="13"/>
  <c r="G3" i="13"/>
  <c r="F3" i="13"/>
  <c r="E3" i="13"/>
  <c r="D3" i="13"/>
  <c r="C3" i="13"/>
  <c r="J2" i="13"/>
  <c r="I2" i="13"/>
  <c r="H2" i="13"/>
  <c r="G2" i="13"/>
  <c r="F2" i="13"/>
  <c r="E2" i="13"/>
  <c r="D2" i="13"/>
  <c r="C2" i="13"/>
  <c r="H22" i="5"/>
  <c r="H23" i="5" s="1"/>
  <c r="H9" i="5"/>
  <c r="H8" i="5"/>
  <c r="H7" i="5"/>
  <c r="H6" i="5"/>
  <c r="H5" i="5"/>
  <c r="H4" i="5"/>
  <c r="H3" i="5"/>
  <c r="H2" i="5"/>
  <c r="H22" i="4"/>
  <c r="H23" i="4" s="1"/>
  <c r="H3" i="4"/>
  <c r="H4" i="4"/>
  <c r="H5" i="4"/>
  <c r="H6" i="4"/>
  <c r="H7" i="4"/>
  <c r="H8" i="4"/>
  <c r="H9" i="4"/>
  <c r="H2" i="4"/>
  <c r="B24" i="12"/>
  <c r="B23" i="12"/>
  <c r="J22" i="5"/>
  <c r="J23" i="5" s="1"/>
  <c r="J9" i="5"/>
  <c r="J8" i="5"/>
  <c r="J7" i="5"/>
  <c r="J6" i="5"/>
  <c r="J5" i="5"/>
  <c r="J4" i="5"/>
  <c r="J3" i="5"/>
  <c r="J2" i="5"/>
  <c r="J22" i="4"/>
  <c r="J23" i="4" s="1"/>
  <c r="J3" i="4"/>
  <c r="J4" i="4"/>
  <c r="J5" i="4"/>
  <c r="J6" i="4"/>
  <c r="J7" i="4"/>
  <c r="J8" i="4"/>
  <c r="J9" i="4"/>
  <c r="J2" i="4"/>
  <c r="B24" i="11"/>
  <c r="B23" i="11"/>
  <c r="I22" i="5"/>
  <c r="I23" i="5" s="1"/>
  <c r="G22" i="5"/>
  <c r="F22" i="5"/>
  <c r="E22" i="5"/>
  <c r="D22" i="5"/>
  <c r="C22" i="5"/>
  <c r="C23" i="5" s="1"/>
  <c r="I9" i="5"/>
  <c r="I8" i="5"/>
  <c r="I7" i="5"/>
  <c r="I6" i="5"/>
  <c r="I5" i="5"/>
  <c r="I4" i="5"/>
  <c r="I3" i="5"/>
  <c r="I2" i="5"/>
  <c r="I22" i="4"/>
  <c r="I23" i="4" s="1"/>
  <c r="G22" i="4"/>
  <c r="F22" i="4"/>
  <c r="E22" i="4"/>
  <c r="D22" i="4"/>
  <c r="C22" i="4"/>
  <c r="C23" i="4" s="1"/>
  <c r="I3" i="4"/>
  <c r="I4" i="4"/>
  <c r="I5" i="4"/>
  <c r="I6" i="4"/>
  <c r="I7" i="4"/>
  <c r="I8" i="4"/>
  <c r="I9" i="4"/>
  <c r="I2" i="4"/>
  <c r="B24" i="6"/>
  <c r="B23" i="6"/>
  <c r="B24" i="2"/>
  <c r="B23" i="2"/>
  <c r="B24" i="3"/>
  <c r="B23" i="3"/>
  <c r="B24" i="7"/>
  <c r="B23" i="7"/>
  <c r="B24" i="8"/>
  <c r="B23" i="8"/>
  <c r="B24" i="9"/>
  <c r="B23" i="9"/>
  <c r="G9" i="5"/>
  <c r="G8" i="5"/>
  <c r="G7" i="5"/>
  <c r="G6" i="5"/>
  <c r="G5" i="5"/>
  <c r="G4" i="5"/>
  <c r="G3" i="5"/>
  <c r="G2" i="5"/>
  <c r="G3" i="4"/>
  <c r="G4" i="4"/>
  <c r="G5" i="4"/>
  <c r="G6" i="4"/>
  <c r="G7" i="4"/>
  <c r="G8" i="4"/>
  <c r="G9" i="4"/>
  <c r="G2" i="4"/>
  <c r="F9" i="5"/>
  <c r="F8" i="5"/>
  <c r="F7" i="5"/>
  <c r="F6" i="5"/>
  <c r="F5" i="5"/>
  <c r="F4" i="5"/>
  <c r="F3" i="5"/>
  <c r="F2" i="5"/>
  <c r="F9" i="4"/>
  <c r="F8" i="4"/>
  <c r="F7" i="4"/>
  <c r="F6" i="4"/>
  <c r="F5" i="4"/>
  <c r="F4" i="4"/>
  <c r="F3" i="4"/>
  <c r="F2" i="4"/>
  <c r="E9" i="5"/>
  <c r="E8" i="5"/>
  <c r="E7" i="5"/>
  <c r="E6" i="5"/>
  <c r="E5" i="5"/>
  <c r="E4" i="5"/>
  <c r="E3" i="5"/>
  <c r="E2" i="5"/>
  <c r="E9" i="4"/>
  <c r="E8" i="4"/>
  <c r="E7" i="4"/>
  <c r="E6" i="4"/>
  <c r="E5" i="4"/>
  <c r="E4" i="4"/>
  <c r="E3" i="4"/>
  <c r="E2" i="4"/>
  <c r="B16" i="5"/>
  <c r="B15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B16" i="4"/>
  <c r="B15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9" i="4"/>
  <c r="C9" i="4"/>
  <c r="L16" i="13" l="1"/>
  <c r="H21" i="4"/>
  <c r="J16" i="4"/>
  <c r="J21" i="4"/>
  <c r="L24" i="4"/>
  <c r="J19" i="4"/>
  <c r="F21" i="4"/>
  <c r="J21" i="5"/>
  <c r="G24" i="32"/>
  <c r="L16" i="5"/>
  <c r="L16" i="14"/>
  <c r="L21" i="18"/>
  <c r="L21" i="30"/>
  <c r="L16" i="31"/>
  <c r="J24" i="5"/>
  <c r="F19" i="26"/>
  <c r="I24" i="32"/>
  <c r="L21" i="5"/>
  <c r="L20" i="18"/>
  <c r="L24" i="19"/>
  <c r="L21" i="21"/>
  <c r="L16" i="22"/>
  <c r="L18" i="31"/>
  <c r="L21" i="32"/>
  <c r="C16" i="20"/>
  <c r="G24" i="26"/>
  <c r="G25" i="26" s="1"/>
  <c r="L15" i="4"/>
  <c r="H24" i="26"/>
  <c r="H25" i="26" s="1"/>
  <c r="C20" i="34"/>
  <c r="L16" i="4"/>
  <c r="L20" i="5"/>
  <c r="L21" i="14"/>
  <c r="L16" i="19"/>
  <c r="J15" i="4"/>
  <c r="L18" i="4"/>
  <c r="K16" i="17"/>
  <c r="K16" i="20"/>
  <c r="K24" i="25"/>
  <c r="K25" i="25" s="1"/>
  <c r="K16" i="26"/>
  <c r="K16" i="29"/>
  <c r="L19" i="4"/>
  <c r="J18" i="4"/>
  <c r="L20" i="4"/>
  <c r="K16" i="30"/>
  <c r="L21" i="4"/>
  <c r="L16" i="30"/>
  <c r="J24" i="4"/>
  <c r="J25" i="4" s="1"/>
  <c r="J20" i="4"/>
  <c r="K16" i="18"/>
  <c r="K16" i="21"/>
  <c r="K24" i="31"/>
  <c r="K25" i="31" s="1"/>
  <c r="E24" i="4"/>
  <c r="E15" i="32"/>
  <c r="K24" i="4"/>
  <c r="K25" i="4" s="1"/>
  <c r="L21" i="13"/>
  <c r="L21" i="15"/>
  <c r="L21" i="17"/>
  <c r="L16" i="18"/>
  <c r="L21" i="20"/>
  <c r="L16" i="21"/>
  <c r="L21" i="25"/>
  <c r="L21" i="26"/>
  <c r="L18" i="29"/>
  <c r="L24" i="31"/>
  <c r="L25" i="31" s="1"/>
  <c r="L16" i="32"/>
  <c r="L21" i="33"/>
  <c r="L16" i="33"/>
  <c r="L16" i="27"/>
  <c r="L21" i="27"/>
  <c r="K21" i="15"/>
  <c r="L16" i="24"/>
  <c r="L21" i="24"/>
  <c r="D15" i="34"/>
  <c r="J24" i="34"/>
  <c r="L16" i="34"/>
  <c r="L21" i="34"/>
  <c r="L21" i="28"/>
  <c r="L16" i="28"/>
  <c r="L16" i="16"/>
  <c r="L25" i="19"/>
  <c r="K24" i="28"/>
  <c r="K25" i="28" s="1"/>
  <c r="K16" i="31"/>
  <c r="K16" i="24"/>
  <c r="K21" i="27"/>
  <c r="K21" i="17"/>
  <c r="K16" i="28"/>
  <c r="K19" i="31"/>
  <c r="K21" i="19"/>
  <c r="K18" i="20"/>
  <c r="K21" i="21"/>
  <c r="K21" i="22"/>
  <c r="K21" i="26"/>
  <c r="K21" i="18"/>
  <c r="K15" i="4"/>
  <c r="K16" i="5"/>
  <c r="K21" i="28"/>
  <c r="K21" i="16"/>
  <c r="K16" i="4"/>
  <c r="K21" i="24"/>
  <c r="K16" i="25"/>
  <c r="K16" i="34"/>
  <c r="K18" i="4"/>
  <c r="K16" i="13"/>
  <c r="K18" i="29"/>
  <c r="K16" i="33"/>
  <c r="K19" i="4"/>
  <c r="K21" i="25"/>
  <c r="K20" i="4"/>
  <c r="K21" i="5"/>
  <c r="K16" i="14"/>
  <c r="K21" i="4"/>
  <c r="K18" i="26"/>
  <c r="K21" i="34"/>
  <c r="K21" i="13"/>
  <c r="K16" i="15"/>
  <c r="K16" i="32"/>
  <c r="K19" i="33"/>
  <c r="K21" i="14"/>
  <c r="K16" i="16"/>
  <c r="K18" i="17"/>
  <c r="K16" i="27"/>
  <c r="K16" i="23"/>
  <c r="L16" i="23"/>
  <c r="K21" i="23"/>
  <c r="L21" i="23"/>
  <c r="K18" i="34"/>
  <c r="L18" i="34"/>
  <c r="K19" i="34"/>
  <c r="L19" i="34"/>
  <c r="K20" i="34"/>
  <c r="L20" i="34"/>
  <c r="K15" i="34"/>
  <c r="K24" i="34"/>
  <c r="K25" i="34" s="1"/>
  <c r="L15" i="34"/>
  <c r="L24" i="34"/>
  <c r="L25" i="34" s="1"/>
  <c r="K18" i="33"/>
  <c r="L18" i="33"/>
  <c r="L19" i="33"/>
  <c r="K20" i="33"/>
  <c r="L20" i="33"/>
  <c r="K21" i="33"/>
  <c r="K15" i="33"/>
  <c r="K24" i="33"/>
  <c r="K25" i="33" s="1"/>
  <c r="L15" i="33"/>
  <c r="L24" i="33"/>
  <c r="L25" i="33" s="1"/>
  <c r="K18" i="32"/>
  <c r="L18" i="32"/>
  <c r="K19" i="32"/>
  <c r="L19" i="32"/>
  <c r="K20" i="32"/>
  <c r="L20" i="32"/>
  <c r="K15" i="32"/>
  <c r="K24" i="32"/>
  <c r="K25" i="32" s="1"/>
  <c r="L15" i="32"/>
  <c r="L24" i="32"/>
  <c r="L25" i="32" s="1"/>
  <c r="K18" i="31"/>
  <c r="L19" i="31"/>
  <c r="K20" i="31"/>
  <c r="L20" i="31"/>
  <c r="K21" i="31"/>
  <c r="L21" i="31"/>
  <c r="K15" i="31"/>
  <c r="L15" i="31"/>
  <c r="K18" i="30"/>
  <c r="L18" i="30"/>
  <c r="K19" i="30"/>
  <c r="L19" i="30"/>
  <c r="K20" i="30"/>
  <c r="L20" i="30"/>
  <c r="K21" i="30"/>
  <c r="K15" i="30"/>
  <c r="K24" i="30"/>
  <c r="K25" i="30" s="1"/>
  <c r="L15" i="30"/>
  <c r="L24" i="30"/>
  <c r="L25" i="30" s="1"/>
  <c r="K19" i="29"/>
  <c r="L19" i="29"/>
  <c r="K20" i="29"/>
  <c r="L20" i="29"/>
  <c r="K21" i="29"/>
  <c r="L21" i="29"/>
  <c r="K15" i="29"/>
  <c r="K24" i="29"/>
  <c r="K25" i="29" s="1"/>
  <c r="L15" i="29"/>
  <c r="L24" i="29"/>
  <c r="L25" i="29" s="1"/>
  <c r="K18" i="28"/>
  <c r="L18" i="28"/>
  <c r="K19" i="28"/>
  <c r="L19" i="28"/>
  <c r="K20" i="28"/>
  <c r="L20" i="28"/>
  <c r="K15" i="28"/>
  <c r="L15" i="28"/>
  <c r="L24" i="28"/>
  <c r="L25" i="28" s="1"/>
  <c r="K18" i="27"/>
  <c r="L18" i="27"/>
  <c r="K19" i="27"/>
  <c r="L19" i="27"/>
  <c r="K20" i="27"/>
  <c r="L20" i="27"/>
  <c r="K15" i="27"/>
  <c r="K24" i="27"/>
  <c r="K25" i="27" s="1"/>
  <c r="L15" i="27"/>
  <c r="L24" i="27"/>
  <c r="L25" i="27" s="1"/>
  <c r="L18" i="26"/>
  <c r="K19" i="26"/>
  <c r="L19" i="26"/>
  <c r="K20" i="26"/>
  <c r="L20" i="26"/>
  <c r="K15" i="26"/>
  <c r="K24" i="26"/>
  <c r="K25" i="26" s="1"/>
  <c r="L15" i="26"/>
  <c r="L24" i="26"/>
  <c r="L25" i="26" s="1"/>
  <c r="K18" i="25"/>
  <c r="L18" i="25"/>
  <c r="K19" i="25"/>
  <c r="L19" i="25"/>
  <c r="K20" i="25"/>
  <c r="L20" i="25"/>
  <c r="K15" i="25"/>
  <c r="L15" i="25"/>
  <c r="L24" i="25"/>
  <c r="L25" i="25" s="1"/>
  <c r="K18" i="24"/>
  <c r="L18" i="24"/>
  <c r="K19" i="24"/>
  <c r="L19" i="24"/>
  <c r="K20" i="24"/>
  <c r="L20" i="24"/>
  <c r="K15" i="24"/>
  <c r="K24" i="24"/>
  <c r="K25" i="24" s="1"/>
  <c r="L15" i="24"/>
  <c r="L24" i="24"/>
  <c r="L25" i="24" s="1"/>
  <c r="K18" i="23"/>
  <c r="L18" i="23"/>
  <c r="K19" i="23"/>
  <c r="L19" i="23"/>
  <c r="K20" i="23"/>
  <c r="L20" i="23"/>
  <c r="K15" i="23"/>
  <c r="K24" i="23"/>
  <c r="K25" i="23" s="1"/>
  <c r="L15" i="23"/>
  <c r="L24" i="23"/>
  <c r="L25" i="23" s="1"/>
  <c r="K18" i="22"/>
  <c r="L18" i="22"/>
  <c r="K19" i="22"/>
  <c r="L19" i="22"/>
  <c r="K20" i="22"/>
  <c r="L20" i="22"/>
  <c r="K15" i="22"/>
  <c r="K24" i="22"/>
  <c r="K25" i="22" s="1"/>
  <c r="L15" i="22"/>
  <c r="L24" i="22"/>
  <c r="L25" i="22" s="1"/>
  <c r="K18" i="21"/>
  <c r="L18" i="21"/>
  <c r="K19" i="21"/>
  <c r="L19" i="21"/>
  <c r="K20" i="21"/>
  <c r="L20" i="21"/>
  <c r="K15" i="21"/>
  <c r="K24" i="21"/>
  <c r="K25" i="21" s="1"/>
  <c r="L15" i="21"/>
  <c r="L24" i="21"/>
  <c r="L25" i="21" s="1"/>
  <c r="L18" i="20"/>
  <c r="K19" i="20"/>
  <c r="L19" i="20"/>
  <c r="K20" i="20"/>
  <c r="L20" i="20"/>
  <c r="K21" i="20"/>
  <c r="K15" i="20"/>
  <c r="K24" i="20"/>
  <c r="K25" i="20" s="1"/>
  <c r="L15" i="20"/>
  <c r="L24" i="20"/>
  <c r="L25" i="20" s="1"/>
  <c r="K18" i="19"/>
  <c r="L18" i="19"/>
  <c r="K19" i="19"/>
  <c r="L19" i="19"/>
  <c r="K20" i="19"/>
  <c r="L20" i="19"/>
  <c r="K15" i="19"/>
  <c r="K24" i="19"/>
  <c r="K25" i="19" s="1"/>
  <c r="L15" i="19"/>
  <c r="K18" i="18"/>
  <c r="L18" i="18"/>
  <c r="K19" i="18"/>
  <c r="L19" i="18"/>
  <c r="K20" i="18"/>
  <c r="K15" i="18"/>
  <c r="K24" i="18"/>
  <c r="K25" i="18" s="1"/>
  <c r="L15" i="18"/>
  <c r="L24" i="18"/>
  <c r="L25" i="18" s="1"/>
  <c r="L18" i="17"/>
  <c r="K19" i="17"/>
  <c r="L19" i="17"/>
  <c r="K20" i="17"/>
  <c r="L20" i="17"/>
  <c r="K15" i="17"/>
  <c r="K24" i="17"/>
  <c r="K25" i="17" s="1"/>
  <c r="L15" i="17"/>
  <c r="L24" i="17"/>
  <c r="L25" i="17" s="1"/>
  <c r="K18" i="16"/>
  <c r="L18" i="16"/>
  <c r="K19" i="16"/>
  <c r="L19" i="16"/>
  <c r="K20" i="16"/>
  <c r="L20" i="16"/>
  <c r="L21" i="16"/>
  <c r="K15" i="16"/>
  <c r="K24" i="16"/>
  <c r="K25" i="16" s="1"/>
  <c r="L15" i="16"/>
  <c r="L24" i="16"/>
  <c r="L25" i="16" s="1"/>
  <c r="K18" i="15"/>
  <c r="L18" i="15"/>
  <c r="K19" i="15"/>
  <c r="L19" i="15"/>
  <c r="K20" i="15"/>
  <c r="L20" i="15"/>
  <c r="K15" i="15"/>
  <c r="K24" i="15"/>
  <c r="K25" i="15" s="1"/>
  <c r="L15" i="15"/>
  <c r="L24" i="15"/>
  <c r="L25" i="15" s="1"/>
  <c r="K18" i="14"/>
  <c r="L18" i="14"/>
  <c r="K19" i="14"/>
  <c r="L19" i="14"/>
  <c r="K20" i="14"/>
  <c r="L20" i="14"/>
  <c r="K15" i="14"/>
  <c r="K24" i="14"/>
  <c r="K25" i="14" s="1"/>
  <c r="L15" i="14"/>
  <c r="L24" i="14"/>
  <c r="L25" i="14" s="1"/>
  <c r="K18" i="13"/>
  <c r="L18" i="13"/>
  <c r="K19" i="13"/>
  <c r="L19" i="13"/>
  <c r="K20" i="13"/>
  <c r="L20" i="13"/>
  <c r="K15" i="13"/>
  <c r="K24" i="13"/>
  <c r="K25" i="13" s="1"/>
  <c r="L15" i="13"/>
  <c r="L24" i="13"/>
  <c r="L25" i="13" s="1"/>
  <c r="K18" i="5"/>
  <c r="L18" i="5"/>
  <c r="K19" i="5"/>
  <c r="L19" i="5"/>
  <c r="K20" i="5"/>
  <c r="K15" i="5"/>
  <c r="K24" i="5"/>
  <c r="K25" i="5" s="1"/>
  <c r="L15" i="5"/>
  <c r="L24" i="5"/>
  <c r="L25" i="5" s="1"/>
  <c r="F18" i="34"/>
  <c r="C16" i="34"/>
  <c r="D19" i="34"/>
  <c r="E15" i="34"/>
  <c r="F19" i="34"/>
  <c r="G24" i="34"/>
  <c r="G25" i="34" s="1"/>
  <c r="H24" i="34"/>
  <c r="H25" i="34" s="1"/>
  <c r="I24" i="34"/>
  <c r="I25" i="34" s="1"/>
  <c r="G19" i="33"/>
  <c r="I24" i="33"/>
  <c r="J24" i="33"/>
  <c r="J25" i="33" s="1"/>
  <c r="J24" i="32"/>
  <c r="J25" i="32" s="1"/>
  <c r="C16" i="32"/>
  <c r="D24" i="32"/>
  <c r="D25" i="32" s="1"/>
  <c r="C15" i="32"/>
  <c r="D15" i="32"/>
  <c r="C15" i="30"/>
  <c r="D15" i="30"/>
  <c r="E19" i="30"/>
  <c r="G24" i="30"/>
  <c r="G25" i="30" s="1"/>
  <c r="F19" i="30"/>
  <c r="H24" i="30"/>
  <c r="H25" i="30" s="1"/>
  <c r="I24" i="30"/>
  <c r="I25" i="30" s="1"/>
  <c r="J24" i="30"/>
  <c r="J25" i="30" s="1"/>
  <c r="C16" i="30"/>
  <c r="D20" i="30"/>
  <c r="E15" i="30"/>
  <c r="F19" i="29"/>
  <c r="E18" i="28"/>
  <c r="F18" i="28"/>
  <c r="C16" i="28"/>
  <c r="D19" i="28"/>
  <c r="F15" i="28"/>
  <c r="E15" i="28"/>
  <c r="F19" i="28"/>
  <c r="G24" i="28"/>
  <c r="G25" i="28" s="1"/>
  <c r="D16" i="28"/>
  <c r="H24" i="28"/>
  <c r="H25" i="28" s="1"/>
  <c r="C18" i="28"/>
  <c r="I24" i="28"/>
  <c r="I25" i="28" s="1"/>
  <c r="H18" i="28"/>
  <c r="G19" i="28"/>
  <c r="J24" i="28"/>
  <c r="J25" i="28" s="1"/>
  <c r="E16" i="26"/>
  <c r="I24" i="26"/>
  <c r="I25" i="26" s="1"/>
  <c r="J24" i="26"/>
  <c r="J25" i="26" s="1"/>
  <c r="E15" i="26"/>
  <c r="F15" i="26"/>
  <c r="G15" i="26"/>
  <c r="G19" i="26"/>
  <c r="H19" i="26"/>
  <c r="C16" i="26"/>
  <c r="E18" i="25"/>
  <c r="G19" i="24"/>
  <c r="F15" i="24"/>
  <c r="J24" i="23"/>
  <c r="J25" i="23" s="1"/>
  <c r="G24" i="22"/>
  <c r="G25" i="22" s="1"/>
  <c r="D15" i="20"/>
  <c r="E15" i="20"/>
  <c r="F19" i="20"/>
  <c r="G24" i="20"/>
  <c r="G25" i="20" s="1"/>
  <c r="J19" i="20"/>
  <c r="C18" i="20"/>
  <c r="G19" i="20"/>
  <c r="H24" i="20"/>
  <c r="H25" i="20" s="1"/>
  <c r="I24" i="20"/>
  <c r="I25" i="20" s="1"/>
  <c r="J24" i="20"/>
  <c r="J25" i="20" s="1"/>
  <c r="F15" i="20"/>
  <c r="D16" i="20"/>
  <c r="C16" i="19"/>
  <c r="E15" i="19"/>
  <c r="D15" i="19"/>
  <c r="F19" i="19"/>
  <c r="G24" i="19"/>
  <c r="H24" i="19"/>
  <c r="H25" i="19" s="1"/>
  <c r="I24" i="19"/>
  <c r="I25" i="19" s="1"/>
  <c r="J24" i="19"/>
  <c r="J25" i="19" s="1"/>
  <c r="G18" i="18"/>
  <c r="H18" i="18"/>
  <c r="D15" i="17"/>
  <c r="H24" i="16"/>
  <c r="H25" i="16" s="1"/>
  <c r="I24" i="16"/>
  <c r="I25" i="16" s="1"/>
  <c r="J24" i="16"/>
  <c r="D18" i="16"/>
  <c r="E15" i="16"/>
  <c r="F18" i="16"/>
  <c r="G16" i="16"/>
  <c r="C16" i="16"/>
  <c r="D15" i="16"/>
  <c r="E19" i="16"/>
  <c r="F19" i="16"/>
  <c r="G24" i="16"/>
  <c r="G25" i="16" s="1"/>
  <c r="H18" i="14"/>
  <c r="G15" i="14"/>
  <c r="F18" i="14"/>
  <c r="G19" i="14"/>
  <c r="C16" i="14"/>
  <c r="D15" i="14"/>
  <c r="H24" i="14"/>
  <c r="H25" i="14" s="1"/>
  <c r="F19" i="14"/>
  <c r="E15" i="14"/>
  <c r="D16" i="14"/>
  <c r="E16" i="14"/>
  <c r="F15" i="14"/>
  <c r="F16" i="14"/>
  <c r="G24" i="14"/>
  <c r="G25" i="14" s="1"/>
  <c r="G16" i="14"/>
  <c r="I24" i="14"/>
  <c r="I25" i="14" s="1"/>
  <c r="C18" i="14"/>
  <c r="D18" i="14"/>
  <c r="J24" i="14"/>
  <c r="J25" i="14" s="1"/>
  <c r="E18" i="14"/>
  <c r="H24" i="5"/>
  <c r="H25" i="5" s="1"/>
  <c r="J16" i="5"/>
  <c r="J15" i="5"/>
  <c r="J18" i="5"/>
  <c r="J19" i="5"/>
  <c r="J20" i="5"/>
  <c r="I19" i="5"/>
  <c r="I18" i="5"/>
  <c r="H15" i="5"/>
  <c r="H16" i="5"/>
  <c r="H18" i="5"/>
  <c r="H19" i="5"/>
  <c r="H20" i="5"/>
  <c r="H21" i="5"/>
  <c r="I15" i="5"/>
  <c r="E21" i="5"/>
  <c r="F18" i="5"/>
  <c r="I16" i="5"/>
  <c r="L25" i="4"/>
  <c r="H24" i="4"/>
  <c r="H25" i="4" s="1"/>
  <c r="I24" i="4"/>
  <c r="I25" i="4" s="1"/>
  <c r="H15" i="4"/>
  <c r="H16" i="4"/>
  <c r="H18" i="4"/>
  <c r="H19" i="4"/>
  <c r="H20" i="4"/>
  <c r="J25" i="34"/>
  <c r="F15" i="34"/>
  <c r="D16" i="34"/>
  <c r="C18" i="34"/>
  <c r="G19" i="34"/>
  <c r="G15" i="34"/>
  <c r="E16" i="34"/>
  <c r="D18" i="34"/>
  <c r="H19" i="34"/>
  <c r="H15" i="34"/>
  <c r="F16" i="34"/>
  <c r="E18" i="34"/>
  <c r="I19" i="34"/>
  <c r="I15" i="34"/>
  <c r="G16" i="34"/>
  <c r="J19" i="34"/>
  <c r="J15" i="34"/>
  <c r="H16" i="34"/>
  <c r="G18" i="34"/>
  <c r="C21" i="34"/>
  <c r="I16" i="34"/>
  <c r="H18" i="34"/>
  <c r="D21" i="34"/>
  <c r="J16" i="34"/>
  <c r="I18" i="34"/>
  <c r="E21" i="34"/>
  <c r="J18" i="34"/>
  <c r="F21" i="34"/>
  <c r="G21" i="34"/>
  <c r="C24" i="34"/>
  <c r="C25" i="34" s="1"/>
  <c r="D20" i="34"/>
  <c r="H21" i="34"/>
  <c r="D24" i="34"/>
  <c r="D25" i="34" s="1"/>
  <c r="E20" i="34"/>
  <c r="I21" i="34"/>
  <c r="E24" i="34"/>
  <c r="E25" i="34" s="1"/>
  <c r="F20" i="34"/>
  <c r="J21" i="34"/>
  <c r="F24" i="34"/>
  <c r="F25" i="34" s="1"/>
  <c r="C19" i="34"/>
  <c r="G20" i="34"/>
  <c r="C15" i="34"/>
  <c r="H20" i="34"/>
  <c r="E19" i="34"/>
  <c r="I20" i="34"/>
  <c r="J20" i="34"/>
  <c r="I25" i="33"/>
  <c r="D16" i="33"/>
  <c r="C18" i="33"/>
  <c r="C16" i="33"/>
  <c r="F19" i="33"/>
  <c r="G24" i="33"/>
  <c r="G25" i="33" s="1"/>
  <c r="D15" i="33"/>
  <c r="E15" i="33"/>
  <c r="H24" i="33"/>
  <c r="H25" i="33" s="1"/>
  <c r="G15" i="33"/>
  <c r="E16" i="33"/>
  <c r="D18" i="33"/>
  <c r="H19" i="33"/>
  <c r="H15" i="33"/>
  <c r="F16" i="33"/>
  <c r="E18" i="33"/>
  <c r="I19" i="33"/>
  <c r="F15" i="33"/>
  <c r="I15" i="33"/>
  <c r="G16" i="33"/>
  <c r="F18" i="33"/>
  <c r="J19" i="33"/>
  <c r="J15" i="33"/>
  <c r="H16" i="33"/>
  <c r="G18" i="33"/>
  <c r="C21" i="33"/>
  <c r="I16" i="33"/>
  <c r="H18" i="33"/>
  <c r="D21" i="33"/>
  <c r="J16" i="33"/>
  <c r="I18" i="33"/>
  <c r="E21" i="33"/>
  <c r="J18" i="33"/>
  <c r="F21" i="33"/>
  <c r="C20" i="33"/>
  <c r="G21" i="33"/>
  <c r="C24" i="33"/>
  <c r="C25" i="33" s="1"/>
  <c r="D20" i="33"/>
  <c r="H21" i="33"/>
  <c r="D24" i="33"/>
  <c r="D25" i="33" s="1"/>
  <c r="E20" i="33"/>
  <c r="I21" i="33"/>
  <c r="E24" i="33"/>
  <c r="E25" i="33" s="1"/>
  <c r="F20" i="33"/>
  <c r="J21" i="33"/>
  <c r="F24" i="33"/>
  <c r="F25" i="33" s="1"/>
  <c r="C19" i="33"/>
  <c r="G20" i="33"/>
  <c r="C15" i="33"/>
  <c r="D19" i="33"/>
  <c r="H20" i="33"/>
  <c r="E19" i="33"/>
  <c r="I20" i="33"/>
  <c r="J20" i="33"/>
  <c r="G25" i="32"/>
  <c r="H25" i="32"/>
  <c r="I25" i="32"/>
  <c r="F15" i="32"/>
  <c r="D16" i="32"/>
  <c r="C18" i="32"/>
  <c r="G19" i="32"/>
  <c r="G15" i="32"/>
  <c r="E16" i="32"/>
  <c r="D18" i="32"/>
  <c r="H19" i="32"/>
  <c r="H15" i="32"/>
  <c r="F16" i="32"/>
  <c r="E18" i="32"/>
  <c r="I19" i="32"/>
  <c r="I15" i="32"/>
  <c r="G16" i="32"/>
  <c r="F18" i="32"/>
  <c r="J19" i="32"/>
  <c r="J15" i="32"/>
  <c r="H16" i="32"/>
  <c r="G18" i="32"/>
  <c r="C21" i="32"/>
  <c r="I16" i="32"/>
  <c r="H18" i="32"/>
  <c r="D21" i="32"/>
  <c r="J16" i="32"/>
  <c r="I18" i="32"/>
  <c r="E21" i="32"/>
  <c r="J18" i="32"/>
  <c r="F21" i="32"/>
  <c r="C20" i="32"/>
  <c r="G21" i="32"/>
  <c r="C24" i="32"/>
  <c r="C25" i="32" s="1"/>
  <c r="D20" i="32"/>
  <c r="H21" i="32"/>
  <c r="E20" i="32"/>
  <c r="I21" i="32"/>
  <c r="E24" i="32"/>
  <c r="E25" i="32" s="1"/>
  <c r="F20" i="32"/>
  <c r="J21" i="32"/>
  <c r="F24" i="32"/>
  <c r="F25" i="32" s="1"/>
  <c r="C19" i="32"/>
  <c r="G20" i="32"/>
  <c r="D19" i="32"/>
  <c r="H20" i="32"/>
  <c r="E19" i="32"/>
  <c r="I20" i="32"/>
  <c r="J20" i="32"/>
  <c r="C15" i="31"/>
  <c r="D15" i="31"/>
  <c r="H24" i="31"/>
  <c r="H25" i="31" s="1"/>
  <c r="E19" i="31"/>
  <c r="F19" i="31"/>
  <c r="G24" i="31"/>
  <c r="G25" i="31" s="1"/>
  <c r="I24" i="31"/>
  <c r="I25" i="31" s="1"/>
  <c r="J24" i="31"/>
  <c r="J25" i="31" s="1"/>
  <c r="C16" i="31"/>
  <c r="D20" i="31"/>
  <c r="E15" i="31"/>
  <c r="F15" i="31"/>
  <c r="D16" i="31"/>
  <c r="C18" i="31"/>
  <c r="G19" i="31"/>
  <c r="G15" i="31"/>
  <c r="E16" i="31"/>
  <c r="D18" i="31"/>
  <c r="H19" i="31"/>
  <c r="H15" i="31"/>
  <c r="F16" i="31"/>
  <c r="E18" i="31"/>
  <c r="I19" i="31"/>
  <c r="I15" i="31"/>
  <c r="G16" i="31"/>
  <c r="F18" i="31"/>
  <c r="J19" i="31"/>
  <c r="J15" i="31"/>
  <c r="H16" i="31"/>
  <c r="G18" i="31"/>
  <c r="C21" i="31"/>
  <c r="I16" i="31"/>
  <c r="H18" i="31"/>
  <c r="D21" i="31"/>
  <c r="J16" i="31"/>
  <c r="I18" i="31"/>
  <c r="E21" i="31"/>
  <c r="J18" i="31"/>
  <c r="F21" i="31"/>
  <c r="C20" i="31"/>
  <c r="G21" i="31"/>
  <c r="C24" i="31"/>
  <c r="C25" i="31" s="1"/>
  <c r="H21" i="31"/>
  <c r="D24" i="31"/>
  <c r="D25" i="31" s="1"/>
  <c r="E20" i="31"/>
  <c r="I21" i="31"/>
  <c r="E24" i="31"/>
  <c r="E25" i="31" s="1"/>
  <c r="F20" i="31"/>
  <c r="J21" i="31"/>
  <c r="F24" i="31"/>
  <c r="F25" i="31" s="1"/>
  <c r="C19" i="31"/>
  <c r="G20" i="31"/>
  <c r="D19" i="31"/>
  <c r="H20" i="31"/>
  <c r="I20" i="31"/>
  <c r="J20" i="31"/>
  <c r="F15" i="30"/>
  <c r="D16" i="30"/>
  <c r="C18" i="30"/>
  <c r="G19" i="30"/>
  <c r="G15" i="30"/>
  <c r="E16" i="30"/>
  <c r="D18" i="30"/>
  <c r="H19" i="30"/>
  <c r="H15" i="30"/>
  <c r="F16" i="30"/>
  <c r="E18" i="30"/>
  <c r="I19" i="30"/>
  <c r="I15" i="30"/>
  <c r="G16" i="30"/>
  <c r="F18" i="30"/>
  <c r="J19" i="30"/>
  <c r="J15" i="30"/>
  <c r="H16" i="30"/>
  <c r="G18" i="30"/>
  <c r="C21" i="30"/>
  <c r="I16" i="30"/>
  <c r="H18" i="30"/>
  <c r="D21" i="30"/>
  <c r="J16" i="30"/>
  <c r="I18" i="30"/>
  <c r="E21" i="30"/>
  <c r="J18" i="30"/>
  <c r="F21" i="30"/>
  <c r="C20" i="30"/>
  <c r="G21" i="30"/>
  <c r="C24" i="30"/>
  <c r="C25" i="30" s="1"/>
  <c r="H21" i="30"/>
  <c r="D24" i="30"/>
  <c r="D25" i="30" s="1"/>
  <c r="E20" i="30"/>
  <c r="I21" i="30"/>
  <c r="E24" i="30"/>
  <c r="E25" i="30" s="1"/>
  <c r="F20" i="30"/>
  <c r="J21" i="30"/>
  <c r="F24" i="30"/>
  <c r="F25" i="30" s="1"/>
  <c r="C19" i="30"/>
  <c r="G20" i="30"/>
  <c r="D19" i="30"/>
  <c r="H20" i="30"/>
  <c r="I20" i="30"/>
  <c r="J20" i="30"/>
  <c r="C16" i="29"/>
  <c r="D15" i="29"/>
  <c r="E15" i="29"/>
  <c r="G24" i="29"/>
  <c r="G25" i="29" s="1"/>
  <c r="H24" i="29"/>
  <c r="H25" i="29" s="1"/>
  <c r="I24" i="29"/>
  <c r="I25" i="29" s="1"/>
  <c r="J24" i="29"/>
  <c r="J25" i="29" s="1"/>
  <c r="D18" i="29"/>
  <c r="E18" i="29"/>
  <c r="F16" i="29"/>
  <c r="G16" i="29"/>
  <c r="F15" i="29"/>
  <c r="D16" i="29"/>
  <c r="C18" i="29"/>
  <c r="G19" i="29"/>
  <c r="G15" i="29"/>
  <c r="E16" i="29"/>
  <c r="H19" i="29"/>
  <c r="H15" i="29"/>
  <c r="I19" i="29"/>
  <c r="I15" i="29"/>
  <c r="F18" i="29"/>
  <c r="J19" i="29"/>
  <c r="J15" i="29"/>
  <c r="H16" i="29"/>
  <c r="G18" i="29"/>
  <c r="C21" i="29"/>
  <c r="I16" i="29"/>
  <c r="H18" i="29"/>
  <c r="D21" i="29"/>
  <c r="J16" i="29"/>
  <c r="I18" i="29"/>
  <c r="E21" i="29"/>
  <c r="J18" i="29"/>
  <c r="F21" i="29"/>
  <c r="C20" i="29"/>
  <c r="G21" i="29"/>
  <c r="C24" i="29"/>
  <c r="C25" i="29" s="1"/>
  <c r="D20" i="29"/>
  <c r="H21" i="29"/>
  <c r="D24" i="29"/>
  <c r="D25" i="29" s="1"/>
  <c r="E20" i="29"/>
  <c r="I21" i="29"/>
  <c r="E24" i="29"/>
  <c r="E25" i="29" s="1"/>
  <c r="F20" i="29"/>
  <c r="J21" i="29"/>
  <c r="F24" i="29"/>
  <c r="F25" i="29" s="1"/>
  <c r="C19" i="29"/>
  <c r="G20" i="29"/>
  <c r="C15" i="29"/>
  <c r="D19" i="29"/>
  <c r="H20" i="29"/>
  <c r="E19" i="29"/>
  <c r="I20" i="29"/>
  <c r="J20" i="29"/>
  <c r="G15" i="28"/>
  <c r="E16" i="28"/>
  <c r="D18" i="28"/>
  <c r="H19" i="28"/>
  <c r="H15" i="28"/>
  <c r="F16" i="28"/>
  <c r="I19" i="28"/>
  <c r="I15" i="28"/>
  <c r="G16" i="28"/>
  <c r="J19" i="28"/>
  <c r="J15" i="28"/>
  <c r="H16" i="28"/>
  <c r="G18" i="28"/>
  <c r="C21" i="28"/>
  <c r="I16" i="28"/>
  <c r="D21" i="28"/>
  <c r="J16" i="28"/>
  <c r="I18" i="28"/>
  <c r="E21" i="28"/>
  <c r="J18" i="28"/>
  <c r="F21" i="28"/>
  <c r="C20" i="28"/>
  <c r="G21" i="28"/>
  <c r="C24" i="28"/>
  <c r="C25" i="28" s="1"/>
  <c r="D20" i="28"/>
  <c r="H21" i="28"/>
  <c r="D24" i="28"/>
  <c r="D25" i="28" s="1"/>
  <c r="E20" i="28"/>
  <c r="I21" i="28"/>
  <c r="E24" i="28"/>
  <c r="E25" i="28" s="1"/>
  <c r="F20" i="28"/>
  <c r="J21" i="28"/>
  <c r="F24" i="28"/>
  <c r="F25" i="28" s="1"/>
  <c r="C19" i="28"/>
  <c r="G20" i="28"/>
  <c r="C15" i="28"/>
  <c r="H20" i="28"/>
  <c r="D15" i="28"/>
  <c r="E19" i="28"/>
  <c r="I20" i="28"/>
  <c r="J20" i="28"/>
  <c r="F19" i="27"/>
  <c r="H24" i="27"/>
  <c r="H25" i="27" s="1"/>
  <c r="I24" i="27"/>
  <c r="I25" i="27" s="1"/>
  <c r="G24" i="27"/>
  <c r="G25" i="27" s="1"/>
  <c r="F15" i="27"/>
  <c r="J24" i="27"/>
  <c r="J25" i="27" s="1"/>
  <c r="D16" i="27"/>
  <c r="C16" i="27"/>
  <c r="E15" i="27"/>
  <c r="G19" i="27"/>
  <c r="G15" i="27"/>
  <c r="E16" i="27"/>
  <c r="D18" i="27"/>
  <c r="H19" i="27"/>
  <c r="H15" i="27"/>
  <c r="F16" i="27"/>
  <c r="E18" i="27"/>
  <c r="I19" i="27"/>
  <c r="I15" i="27"/>
  <c r="G16" i="27"/>
  <c r="F18" i="27"/>
  <c r="J19" i="27"/>
  <c r="J15" i="27"/>
  <c r="H16" i="27"/>
  <c r="G18" i="27"/>
  <c r="C21" i="27"/>
  <c r="C18" i="27"/>
  <c r="I16" i="27"/>
  <c r="H18" i="27"/>
  <c r="D21" i="27"/>
  <c r="J16" i="27"/>
  <c r="I18" i="27"/>
  <c r="E21" i="27"/>
  <c r="J18" i="27"/>
  <c r="F21" i="27"/>
  <c r="C20" i="27"/>
  <c r="G21" i="27"/>
  <c r="C24" i="27"/>
  <c r="C25" i="27" s="1"/>
  <c r="D20" i="27"/>
  <c r="H21" i="27"/>
  <c r="D24" i="27"/>
  <c r="D25" i="27" s="1"/>
  <c r="E20" i="27"/>
  <c r="I21" i="27"/>
  <c r="E24" i="27"/>
  <c r="E25" i="27" s="1"/>
  <c r="F20" i="27"/>
  <c r="J21" i="27"/>
  <c r="F24" i="27"/>
  <c r="F25" i="27" s="1"/>
  <c r="C19" i="27"/>
  <c r="G20" i="27"/>
  <c r="C15" i="27"/>
  <c r="D19" i="27"/>
  <c r="H20" i="27"/>
  <c r="D15" i="27"/>
  <c r="E19" i="27"/>
  <c r="I20" i="27"/>
  <c r="J20" i="27"/>
  <c r="H15" i="26"/>
  <c r="F16" i="26"/>
  <c r="E18" i="26"/>
  <c r="I19" i="26"/>
  <c r="D16" i="26"/>
  <c r="I15" i="26"/>
  <c r="G16" i="26"/>
  <c r="F18" i="26"/>
  <c r="J19" i="26"/>
  <c r="J15" i="26"/>
  <c r="H16" i="26"/>
  <c r="G18" i="26"/>
  <c r="C21" i="26"/>
  <c r="I16" i="26"/>
  <c r="H18" i="26"/>
  <c r="D21" i="26"/>
  <c r="J16" i="26"/>
  <c r="I18" i="26"/>
  <c r="E21" i="26"/>
  <c r="D18" i="26"/>
  <c r="J18" i="26"/>
  <c r="F21" i="26"/>
  <c r="C20" i="26"/>
  <c r="G21" i="26"/>
  <c r="C24" i="26"/>
  <c r="C25" i="26" s="1"/>
  <c r="D20" i="26"/>
  <c r="H21" i="26"/>
  <c r="D24" i="26"/>
  <c r="D25" i="26" s="1"/>
  <c r="E20" i="26"/>
  <c r="I21" i="26"/>
  <c r="E24" i="26"/>
  <c r="E25" i="26" s="1"/>
  <c r="C18" i="26"/>
  <c r="F20" i="26"/>
  <c r="J21" i="26"/>
  <c r="F24" i="26"/>
  <c r="F25" i="26" s="1"/>
  <c r="C19" i="26"/>
  <c r="G20" i="26"/>
  <c r="C15" i="26"/>
  <c r="D19" i="26"/>
  <c r="H20" i="26"/>
  <c r="D15" i="26"/>
  <c r="E19" i="26"/>
  <c r="I20" i="26"/>
  <c r="J20" i="26"/>
  <c r="I24" i="25"/>
  <c r="I25" i="25" s="1"/>
  <c r="J24" i="25"/>
  <c r="J25" i="25" s="1"/>
  <c r="D18" i="25"/>
  <c r="C16" i="25"/>
  <c r="D15" i="25"/>
  <c r="E15" i="25"/>
  <c r="F19" i="25"/>
  <c r="G24" i="25"/>
  <c r="G25" i="25" s="1"/>
  <c r="H24" i="25"/>
  <c r="H25" i="25" s="1"/>
  <c r="H18" i="25"/>
  <c r="G19" i="25"/>
  <c r="H19" i="25"/>
  <c r="F15" i="25"/>
  <c r="G15" i="25"/>
  <c r="D16" i="25"/>
  <c r="E16" i="25"/>
  <c r="F16" i="25"/>
  <c r="G16" i="25"/>
  <c r="C18" i="25"/>
  <c r="H15" i="25"/>
  <c r="I19" i="25"/>
  <c r="I15" i="25"/>
  <c r="F18" i="25"/>
  <c r="J19" i="25"/>
  <c r="J15" i="25"/>
  <c r="H16" i="25"/>
  <c r="G18" i="25"/>
  <c r="C21" i="25"/>
  <c r="I16" i="25"/>
  <c r="D21" i="25"/>
  <c r="J16" i="25"/>
  <c r="I18" i="25"/>
  <c r="E21" i="25"/>
  <c r="J18" i="25"/>
  <c r="F21" i="25"/>
  <c r="C20" i="25"/>
  <c r="G21" i="25"/>
  <c r="C24" i="25"/>
  <c r="C25" i="25" s="1"/>
  <c r="D20" i="25"/>
  <c r="H21" i="25"/>
  <c r="D24" i="25"/>
  <c r="D25" i="25" s="1"/>
  <c r="E20" i="25"/>
  <c r="I21" i="25"/>
  <c r="E24" i="25"/>
  <c r="E25" i="25" s="1"/>
  <c r="F20" i="25"/>
  <c r="J21" i="25"/>
  <c r="F24" i="25"/>
  <c r="F25" i="25" s="1"/>
  <c r="C19" i="25"/>
  <c r="G20" i="25"/>
  <c r="C15" i="25"/>
  <c r="D19" i="25"/>
  <c r="H20" i="25"/>
  <c r="E19" i="25"/>
  <c r="I20" i="25"/>
  <c r="J20" i="25"/>
  <c r="C18" i="24"/>
  <c r="J24" i="24"/>
  <c r="J25" i="24" s="1"/>
  <c r="C16" i="24"/>
  <c r="D15" i="24"/>
  <c r="E15" i="24"/>
  <c r="F19" i="24"/>
  <c r="G24" i="24"/>
  <c r="G25" i="24" s="1"/>
  <c r="H24" i="24"/>
  <c r="H25" i="24" s="1"/>
  <c r="I24" i="24"/>
  <c r="I25" i="24" s="1"/>
  <c r="G15" i="24"/>
  <c r="E16" i="24"/>
  <c r="D18" i="24"/>
  <c r="H19" i="24"/>
  <c r="H15" i="24"/>
  <c r="F16" i="24"/>
  <c r="E18" i="24"/>
  <c r="I19" i="24"/>
  <c r="I15" i="24"/>
  <c r="G16" i="24"/>
  <c r="F18" i="24"/>
  <c r="J19" i="24"/>
  <c r="J15" i="24"/>
  <c r="H16" i="24"/>
  <c r="G18" i="24"/>
  <c r="C21" i="24"/>
  <c r="I16" i="24"/>
  <c r="H18" i="24"/>
  <c r="D21" i="24"/>
  <c r="J16" i="24"/>
  <c r="I18" i="24"/>
  <c r="E21" i="24"/>
  <c r="J18" i="24"/>
  <c r="F21" i="24"/>
  <c r="C20" i="24"/>
  <c r="G21" i="24"/>
  <c r="C24" i="24"/>
  <c r="C25" i="24" s="1"/>
  <c r="D20" i="24"/>
  <c r="H21" i="24"/>
  <c r="D24" i="24"/>
  <c r="D25" i="24" s="1"/>
  <c r="E20" i="24"/>
  <c r="I21" i="24"/>
  <c r="E24" i="24"/>
  <c r="E25" i="24" s="1"/>
  <c r="D16" i="24"/>
  <c r="F20" i="24"/>
  <c r="J21" i="24"/>
  <c r="F24" i="24"/>
  <c r="F25" i="24" s="1"/>
  <c r="C19" i="24"/>
  <c r="G20" i="24"/>
  <c r="C15" i="24"/>
  <c r="D19" i="24"/>
  <c r="H20" i="24"/>
  <c r="E19" i="24"/>
  <c r="I20" i="24"/>
  <c r="J20" i="24"/>
  <c r="G19" i="23"/>
  <c r="H19" i="23"/>
  <c r="G15" i="23"/>
  <c r="F15" i="23"/>
  <c r="C16" i="23"/>
  <c r="E15" i="23"/>
  <c r="F19" i="23"/>
  <c r="G24" i="23"/>
  <c r="G25" i="23" s="1"/>
  <c r="H24" i="23"/>
  <c r="H25" i="23" s="1"/>
  <c r="E16" i="23"/>
  <c r="I24" i="23"/>
  <c r="I25" i="23" s="1"/>
  <c r="C18" i="23"/>
  <c r="H15" i="23"/>
  <c r="F16" i="23"/>
  <c r="E18" i="23"/>
  <c r="I19" i="23"/>
  <c r="I15" i="23"/>
  <c r="G16" i="23"/>
  <c r="F18" i="23"/>
  <c r="J19" i="23"/>
  <c r="J15" i="23"/>
  <c r="H16" i="23"/>
  <c r="G18" i="23"/>
  <c r="C21" i="23"/>
  <c r="I16" i="23"/>
  <c r="H18" i="23"/>
  <c r="D21" i="23"/>
  <c r="J16" i="23"/>
  <c r="I18" i="23"/>
  <c r="E21" i="23"/>
  <c r="D18" i="23"/>
  <c r="J18" i="23"/>
  <c r="F21" i="23"/>
  <c r="C20" i="23"/>
  <c r="G21" i="23"/>
  <c r="C24" i="23"/>
  <c r="C25" i="23" s="1"/>
  <c r="D16" i="23"/>
  <c r="D20" i="23"/>
  <c r="H21" i="23"/>
  <c r="D24" i="23"/>
  <c r="D25" i="23" s="1"/>
  <c r="E20" i="23"/>
  <c r="I21" i="23"/>
  <c r="E24" i="23"/>
  <c r="E25" i="23" s="1"/>
  <c r="F20" i="23"/>
  <c r="J21" i="23"/>
  <c r="F24" i="23"/>
  <c r="F25" i="23" s="1"/>
  <c r="C19" i="23"/>
  <c r="G20" i="23"/>
  <c r="C15" i="23"/>
  <c r="D19" i="23"/>
  <c r="H20" i="23"/>
  <c r="D15" i="23"/>
  <c r="E19" i="23"/>
  <c r="I20" i="23"/>
  <c r="J20" i="23"/>
  <c r="H24" i="21"/>
  <c r="H25" i="21" s="1"/>
  <c r="J24" i="21"/>
  <c r="J25" i="21" s="1"/>
  <c r="I24" i="21"/>
  <c r="I25" i="21" s="1"/>
  <c r="H24" i="22"/>
  <c r="H25" i="22" s="1"/>
  <c r="I24" i="22"/>
  <c r="I25" i="22" s="1"/>
  <c r="C16" i="22"/>
  <c r="J24" i="22"/>
  <c r="J25" i="22" s="1"/>
  <c r="D15" i="22"/>
  <c r="E15" i="22"/>
  <c r="F19" i="22"/>
  <c r="F15" i="22"/>
  <c r="D16" i="22"/>
  <c r="C18" i="22"/>
  <c r="G19" i="22"/>
  <c r="G15" i="22"/>
  <c r="E16" i="22"/>
  <c r="D18" i="22"/>
  <c r="H19" i="22"/>
  <c r="H15" i="22"/>
  <c r="F16" i="22"/>
  <c r="E18" i="22"/>
  <c r="I19" i="22"/>
  <c r="I15" i="22"/>
  <c r="G16" i="22"/>
  <c r="F18" i="22"/>
  <c r="J19" i="22"/>
  <c r="J15" i="22"/>
  <c r="H16" i="22"/>
  <c r="G18" i="22"/>
  <c r="C21" i="22"/>
  <c r="I16" i="22"/>
  <c r="H18" i="22"/>
  <c r="D21" i="22"/>
  <c r="J16" i="22"/>
  <c r="I18" i="22"/>
  <c r="E21" i="22"/>
  <c r="J18" i="22"/>
  <c r="F21" i="22"/>
  <c r="C20" i="22"/>
  <c r="G21" i="22"/>
  <c r="C24" i="22"/>
  <c r="C25" i="22" s="1"/>
  <c r="D20" i="22"/>
  <c r="H21" i="22"/>
  <c r="D24" i="22"/>
  <c r="D25" i="22" s="1"/>
  <c r="E20" i="22"/>
  <c r="I21" i="22"/>
  <c r="E24" i="22"/>
  <c r="E25" i="22" s="1"/>
  <c r="F20" i="22"/>
  <c r="J21" i="22"/>
  <c r="F24" i="22"/>
  <c r="F25" i="22" s="1"/>
  <c r="C19" i="22"/>
  <c r="G20" i="22"/>
  <c r="C15" i="22"/>
  <c r="D19" i="22"/>
  <c r="H20" i="22"/>
  <c r="E19" i="22"/>
  <c r="I20" i="22"/>
  <c r="J20" i="22"/>
  <c r="C16" i="21"/>
  <c r="D15" i="21"/>
  <c r="E15" i="21"/>
  <c r="F19" i="21"/>
  <c r="G24" i="21"/>
  <c r="G25" i="21" s="1"/>
  <c r="F15" i="21"/>
  <c r="D16" i="21"/>
  <c r="C18" i="21"/>
  <c r="G19" i="21"/>
  <c r="G15" i="21"/>
  <c r="E16" i="21"/>
  <c r="D18" i="21"/>
  <c r="H19" i="21"/>
  <c r="H15" i="21"/>
  <c r="F16" i="21"/>
  <c r="E18" i="21"/>
  <c r="I19" i="21"/>
  <c r="I15" i="21"/>
  <c r="G16" i="21"/>
  <c r="F18" i="21"/>
  <c r="J19" i="21"/>
  <c r="J15" i="21"/>
  <c r="H16" i="21"/>
  <c r="G18" i="21"/>
  <c r="C21" i="21"/>
  <c r="I16" i="21"/>
  <c r="H18" i="21"/>
  <c r="D21" i="21"/>
  <c r="J16" i="21"/>
  <c r="I18" i="21"/>
  <c r="E21" i="21"/>
  <c r="J18" i="21"/>
  <c r="F21" i="21"/>
  <c r="C20" i="21"/>
  <c r="G21" i="21"/>
  <c r="C24" i="21"/>
  <c r="C25" i="21" s="1"/>
  <c r="D20" i="21"/>
  <c r="H21" i="21"/>
  <c r="D24" i="21"/>
  <c r="D25" i="21" s="1"/>
  <c r="E20" i="21"/>
  <c r="I21" i="21"/>
  <c r="E24" i="21"/>
  <c r="E25" i="21" s="1"/>
  <c r="F20" i="21"/>
  <c r="J21" i="21"/>
  <c r="F24" i="21"/>
  <c r="F25" i="21" s="1"/>
  <c r="C19" i="21"/>
  <c r="G20" i="21"/>
  <c r="C15" i="21"/>
  <c r="D19" i="21"/>
  <c r="H20" i="21"/>
  <c r="E19" i="21"/>
  <c r="I20" i="21"/>
  <c r="J20" i="21"/>
  <c r="G15" i="20"/>
  <c r="E16" i="20"/>
  <c r="D18" i="20"/>
  <c r="H19" i="20"/>
  <c r="H15" i="20"/>
  <c r="F16" i="20"/>
  <c r="E18" i="20"/>
  <c r="I19" i="20"/>
  <c r="I15" i="20"/>
  <c r="G16" i="20"/>
  <c r="F18" i="20"/>
  <c r="J15" i="20"/>
  <c r="H16" i="20"/>
  <c r="G18" i="20"/>
  <c r="C21" i="20"/>
  <c r="I16" i="20"/>
  <c r="H18" i="20"/>
  <c r="D21" i="20"/>
  <c r="I18" i="20"/>
  <c r="E21" i="20"/>
  <c r="J18" i="20"/>
  <c r="F21" i="20"/>
  <c r="C20" i="20"/>
  <c r="G21" i="20"/>
  <c r="C24" i="20"/>
  <c r="C25" i="20" s="1"/>
  <c r="D20" i="20"/>
  <c r="H21" i="20"/>
  <c r="D24" i="20"/>
  <c r="D25" i="20" s="1"/>
  <c r="E20" i="20"/>
  <c r="I21" i="20"/>
  <c r="E24" i="20"/>
  <c r="E25" i="20" s="1"/>
  <c r="F20" i="20"/>
  <c r="J21" i="20"/>
  <c r="F24" i="20"/>
  <c r="F25" i="20" s="1"/>
  <c r="C19" i="20"/>
  <c r="G20" i="20"/>
  <c r="C15" i="20"/>
  <c r="D19" i="20"/>
  <c r="H20" i="20"/>
  <c r="E19" i="20"/>
  <c r="I20" i="20"/>
  <c r="J20" i="20"/>
  <c r="G25" i="19"/>
  <c r="F15" i="19"/>
  <c r="D16" i="19"/>
  <c r="C18" i="19"/>
  <c r="G19" i="19"/>
  <c r="G15" i="19"/>
  <c r="E16" i="19"/>
  <c r="D18" i="19"/>
  <c r="H19" i="19"/>
  <c r="H15" i="19"/>
  <c r="F16" i="19"/>
  <c r="E18" i="19"/>
  <c r="I19" i="19"/>
  <c r="I15" i="19"/>
  <c r="G16" i="19"/>
  <c r="F18" i="19"/>
  <c r="J19" i="19"/>
  <c r="J15" i="19"/>
  <c r="H16" i="19"/>
  <c r="G18" i="19"/>
  <c r="C21" i="19"/>
  <c r="I16" i="19"/>
  <c r="H18" i="19"/>
  <c r="D21" i="19"/>
  <c r="J16" i="19"/>
  <c r="I18" i="19"/>
  <c r="E21" i="19"/>
  <c r="J18" i="19"/>
  <c r="F21" i="19"/>
  <c r="C20" i="19"/>
  <c r="G21" i="19"/>
  <c r="C24" i="19"/>
  <c r="C25" i="19" s="1"/>
  <c r="D20" i="19"/>
  <c r="H21" i="19"/>
  <c r="D24" i="19"/>
  <c r="D25" i="19" s="1"/>
  <c r="E20" i="19"/>
  <c r="I21" i="19"/>
  <c r="E24" i="19"/>
  <c r="E25" i="19" s="1"/>
  <c r="F20" i="19"/>
  <c r="J21" i="19"/>
  <c r="F24" i="19"/>
  <c r="F25" i="19" s="1"/>
  <c r="C19" i="19"/>
  <c r="G20" i="19"/>
  <c r="C15" i="19"/>
  <c r="D19" i="19"/>
  <c r="H20" i="19"/>
  <c r="E19" i="19"/>
  <c r="I20" i="19"/>
  <c r="J20" i="19"/>
  <c r="C16" i="18"/>
  <c r="D15" i="18"/>
  <c r="E15" i="18"/>
  <c r="F19" i="18"/>
  <c r="G24" i="18"/>
  <c r="G25" i="18" s="1"/>
  <c r="H24" i="18"/>
  <c r="H25" i="18" s="1"/>
  <c r="I24" i="18"/>
  <c r="I25" i="18" s="1"/>
  <c r="J24" i="18"/>
  <c r="J25" i="18" s="1"/>
  <c r="E18" i="18"/>
  <c r="F18" i="18"/>
  <c r="F15" i="18"/>
  <c r="D16" i="18"/>
  <c r="C18" i="18"/>
  <c r="G19" i="18"/>
  <c r="G15" i="18"/>
  <c r="E16" i="18"/>
  <c r="D18" i="18"/>
  <c r="H19" i="18"/>
  <c r="H15" i="18"/>
  <c r="F16" i="18"/>
  <c r="I19" i="18"/>
  <c r="I15" i="18"/>
  <c r="G16" i="18"/>
  <c r="J19" i="18"/>
  <c r="J15" i="18"/>
  <c r="H16" i="18"/>
  <c r="C21" i="18"/>
  <c r="I16" i="18"/>
  <c r="D21" i="18"/>
  <c r="J16" i="18"/>
  <c r="I18" i="18"/>
  <c r="E21" i="18"/>
  <c r="J18" i="18"/>
  <c r="F21" i="18"/>
  <c r="C20" i="18"/>
  <c r="G21" i="18"/>
  <c r="C24" i="18"/>
  <c r="C25" i="18" s="1"/>
  <c r="D20" i="18"/>
  <c r="H21" i="18"/>
  <c r="D24" i="18"/>
  <c r="D25" i="18" s="1"/>
  <c r="E20" i="18"/>
  <c r="I21" i="18"/>
  <c r="E24" i="18"/>
  <c r="E25" i="18" s="1"/>
  <c r="F20" i="18"/>
  <c r="J21" i="18"/>
  <c r="F24" i="18"/>
  <c r="F25" i="18" s="1"/>
  <c r="C19" i="18"/>
  <c r="G20" i="18"/>
  <c r="C15" i="18"/>
  <c r="D19" i="18"/>
  <c r="H20" i="18"/>
  <c r="E19" i="18"/>
  <c r="I20" i="18"/>
  <c r="J20" i="18"/>
  <c r="H18" i="17"/>
  <c r="F19" i="17"/>
  <c r="G16" i="17"/>
  <c r="H24" i="17"/>
  <c r="H25" i="17" s="1"/>
  <c r="I24" i="17"/>
  <c r="I25" i="17" s="1"/>
  <c r="J24" i="17"/>
  <c r="J25" i="17" s="1"/>
  <c r="C16" i="17"/>
  <c r="E15" i="17"/>
  <c r="H16" i="17"/>
  <c r="E18" i="17"/>
  <c r="F18" i="17"/>
  <c r="G18" i="17"/>
  <c r="G19" i="17"/>
  <c r="E16" i="17"/>
  <c r="F15" i="17"/>
  <c r="G15" i="17"/>
  <c r="G20" i="17"/>
  <c r="F16" i="17"/>
  <c r="F21" i="17"/>
  <c r="C18" i="17"/>
  <c r="D16" i="17"/>
  <c r="D18" i="17"/>
  <c r="H19" i="17"/>
  <c r="H15" i="17"/>
  <c r="I19" i="17"/>
  <c r="I15" i="17"/>
  <c r="J19" i="17"/>
  <c r="J15" i="17"/>
  <c r="C21" i="17"/>
  <c r="I16" i="17"/>
  <c r="D21" i="17"/>
  <c r="J16" i="17"/>
  <c r="I18" i="17"/>
  <c r="E21" i="17"/>
  <c r="J18" i="17"/>
  <c r="C20" i="17"/>
  <c r="C24" i="17"/>
  <c r="C25" i="17" s="1"/>
  <c r="G21" i="17"/>
  <c r="D20" i="17"/>
  <c r="H21" i="17"/>
  <c r="D24" i="17"/>
  <c r="D25" i="17" s="1"/>
  <c r="E20" i="17"/>
  <c r="I21" i="17"/>
  <c r="E24" i="17"/>
  <c r="E25" i="17" s="1"/>
  <c r="F20" i="17"/>
  <c r="J21" i="17"/>
  <c r="F24" i="17"/>
  <c r="F25" i="17" s="1"/>
  <c r="G24" i="17"/>
  <c r="G25" i="17" s="1"/>
  <c r="C15" i="17"/>
  <c r="D19" i="17"/>
  <c r="H20" i="17"/>
  <c r="C19" i="17"/>
  <c r="E19" i="17"/>
  <c r="I20" i="17"/>
  <c r="J20" i="17"/>
  <c r="J25" i="16"/>
  <c r="F15" i="16"/>
  <c r="D16" i="16"/>
  <c r="C18" i="16"/>
  <c r="G19" i="16"/>
  <c r="G15" i="16"/>
  <c r="E16" i="16"/>
  <c r="H19" i="16"/>
  <c r="H15" i="16"/>
  <c r="F16" i="16"/>
  <c r="E18" i="16"/>
  <c r="I19" i="16"/>
  <c r="I15" i="16"/>
  <c r="J19" i="16"/>
  <c r="J15" i="16"/>
  <c r="H16" i="16"/>
  <c r="G18" i="16"/>
  <c r="C21" i="16"/>
  <c r="I16" i="16"/>
  <c r="H18" i="16"/>
  <c r="D21" i="16"/>
  <c r="J16" i="16"/>
  <c r="I18" i="16"/>
  <c r="E21" i="16"/>
  <c r="J18" i="16"/>
  <c r="F21" i="16"/>
  <c r="C20" i="16"/>
  <c r="G21" i="16"/>
  <c r="C24" i="16"/>
  <c r="C25" i="16" s="1"/>
  <c r="D20" i="16"/>
  <c r="H21" i="16"/>
  <c r="D24" i="16"/>
  <c r="D25" i="16" s="1"/>
  <c r="E20" i="16"/>
  <c r="I21" i="16"/>
  <c r="E24" i="16"/>
  <c r="E25" i="16" s="1"/>
  <c r="F20" i="16"/>
  <c r="J21" i="16"/>
  <c r="F24" i="16"/>
  <c r="F25" i="16" s="1"/>
  <c r="C19" i="16"/>
  <c r="G20" i="16"/>
  <c r="C15" i="16"/>
  <c r="D19" i="16"/>
  <c r="H20" i="16"/>
  <c r="I20" i="16"/>
  <c r="J20" i="16"/>
  <c r="E19" i="15"/>
  <c r="F19" i="15"/>
  <c r="D15" i="15"/>
  <c r="C16" i="15"/>
  <c r="J24" i="15"/>
  <c r="J25" i="15" s="1"/>
  <c r="G24" i="15"/>
  <c r="G25" i="15" s="1"/>
  <c r="I24" i="15"/>
  <c r="I25" i="15" s="1"/>
  <c r="H24" i="15"/>
  <c r="H25" i="15" s="1"/>
  <c r="D16" i="15"/>
  <c r="D18" i="15"/>
  <c r="F18" i="15"/>
  <c r="G18" i="15"/>
  <c r="E15" i="15"/>
  <c r="F15" i="15"/>
  <c r="C18" i="15"/>
  <c r="G19" i="15"/>
  <c r="G15" i="15"/>
  <c r="E16" i="15"/>
  <c r="H19" i="15"/>
  <c r="H15" i="15"/>
  <c r="F16" i="15"/>
  <c r="E18" i="15"/>
  <c r="I19" i="15"/>
  <c r="I15" i="15"/>
  <c r="G16" i="15"/>
  <c r="J19" i="15"/>
  <c r="J15" i="15"/>
  <c r="H16" i="15"/>
  <c r="C21" i="15"/>
  <c r="I16" i="15"/>
  <c r="H18" i="15"/>
  <c r="D21" i="15"/>
  <c r="J16" i="15"/>
  <c r="I18" i="15"/>
  <c r="E21" i="15"/>
  <c r="J18" i="15"/>
  <c r="F21" i="15"/>
  <c r="C20" i="15"/>
  <c r="G21" i="15"/>
  <c r="C24" i="15"/>
  <c r="C25" i="15" s="1"/>
  <c r="D20" i="15"/>
  <c r="H21" i="15"/>
  <c r="D24" i="15"/>
  <c r="D25" i="15" s="1"/>
  <c r="E20" i="15"/>
  <c r="I21" i="15"/>
  <c r="E24" i="15"/>
  <c r="E25" i="15" s="1"/>
  <c r="F20" i="15"/>
  <c r="J21" i="15"/>
  <c r="F24" i="15"/>
  <c r="F25" i="15" s="1"/>
  <c r="C19" i="15"/>
  <c r="G20" i="15"/>
  <c r="C15" i="15"/>
  <c r="D19" i="15"/>
  <c r="H20" i="15"/>
  <c r="I20" i="15"/>
  <c r="J20" i="15"/>
  <c r="H19" i="14"/>
  <c r="I19" i="14"/>
  <c r="J19" i="14"/>
  <c r="J15" i="14"/>
  <c r="H16" i="14"/>
  <c r="G18" i="14"/>
  <c r="C21" i="14"/>
  <c r="H15" i="14"/>
  <c r="I16" i="14"/>
  <c r="D21" i="14"/>
  <c r="J16" i="14"/>
  <c r="I18" i="14"/>
  <c r="E21" i="14"/>
  <c r="J18" i="14"/>
  <c r="F21" i="14"/>
  <c r="G21" i="14"/>
  <c r="C24" i="14"/>
  <c r="C25" i="14" s="1"/>
  <c r="C20" i="14"/>
  <c r="D20" i="14"/>
  <c r="H21" i="14"/>
  <c r="D24" i="14"/>
  <c r="D25" i="14" s="1"/>
  <c r="E20" i="14"/>
  <c r="I21" i="14"/>
  <c r="E24" i="14"/>
  <c r="E25" i="14" s="1"/>
  <c r="F20" i="14"/>
  <c r="J21" i="14"/>
  <c r="F24" i="14"/>
  <c r="F25" i="14" s="1"/>
  <c r="C19" i="14"/>
  <c r="G20" i="14"/>
  <c r="C15" i="14"/>
  <c r="D19" i="14"/>
  <c r="H20" i="14"/>
  <c r="I15" i="14"/>
  <c r="E19" i="14"/>
  <c r="I20" i="14"/>
  <c r="J20" i="14"/>
  <c r="F19" i="13"/>
  <c r="E15" i="13"/>
  <c r="J24" i="13"/>
  <c r="J25" i="13" s="1"/>
  <c r="H24" i="13"/>
  <c r="H25" i="13" s="1"/>
  <c r="G24" i="13"/>
  <c r="G25" i="13" s="1"/>
  <c r="I24" i="13"/>
  <c r="I25" i="13" s="1"/>
  <c r="C16" i="13"/>
  <c r="D19" i="13"/>
  <c r="E18" i="13"/>
  <c r="F18" i="13"/>
  <c r="H18" i="13"/>
  <c r="F15" i="13"/>
  <c r="D16" i="13"/>
  <c r="C18" i="13"/>
  <c r="G19" i="13"/>
  <c r="G15" i="13"/>
  <c r="E16" i="13"/>
  <c r="D18" i="13"/>
  <c r="H19" i="13"/>
  <c r="H15" i="13"/>
  <c r="F16" i="13"/>
  <c r="I19" i="13"/>
  <c r="I15" i="13"/>
  <c r="G16" i="13"/>
  <c r="J19" i="13"/>
  <c r="J15" i="13"/>
  <c r="H16" i="13"/>
  <c r="G18" i="13"/>
  <c r="C21" i="13"/>
  <c r="I16" i="13"/>
  <c r="D21" i="13"/>
  <c r="J16" i="13"/>
  <c r="I18" i="13"/>
  <c r="E21" i="13"/>
  <c r="J18" i="13"/>
  <c r="F21" i="13"/>
  <c r="C20" i="13"/>
  <c r="G21" i="13"/>
  <c r="C24" i="13"/>
  <c r="C25" i="13" s="1"/>
  <c r="D20" i="13"/>
  <c r="H21" i="13"/>
  <c r="D24" i="13"/>
  <c r="D25" i="13" s="1"/>
  <c r="E20" i="13"/>
  <c r="I21" i="13"/>
  <c r="E24" i="13"/>
  <c r="E25" i="13" s="1"/>
  <c r="F20" i="13"/>
  <c r="J21" i="13"/>
  <c r="F24" i="13"/>
  <c r="F25" i="13" s="1"/>
  <c r="C19" i="13"/>
  <c r="G20" i="13"/>
  <c r="C15" i="13"/>
  <c r="H20" i="13"/>
  <c r="E19" i="13"/>
  <c r="I20" i="13"/>
  <c r="D15" i="13"/>
  <c r="J20" i="13"/>
  <c r="J25" i="5"/>
  <c r="I21" i="5"/>
  <c r="I24" i="5"/>
  <c r="I25" i="5" s="1"/>
  <c r="I20" i="5"/>
  <c r="I15" i="4"/>
  <c r="I16" i="4"/>
  <c r="I18" i="4"/>
  <c r="I19" i="4"/>
  <c r="I20" i="4"/>
  <c r="I21" i="4"/>
  <c r="G24" i="5"/>
  <c r="G21" i="5"/>
  <c r="F19" i="5"/>
  <c r="F20" i="5"/>
  <c r="F21" i="5"/>
  <c r="F23" i="5"/>
  <c r="F24" i="5"/>
  <c r="G15" i="5"/>
  <c r="G16" i="5"/>
  <c r="G18" i="5"/>
  <c r="G19" i="5"/>
  <c r="G20" i="5"/>
  <c r="G23" i="5"/>
  <c r="F15" i="5"/>
  <c r="F16" i="5"/>
  <c r="G20" i="4"/>
  <c r="F24" i="4"/>
  <c r="F15" i="4"/>
  <c r="G16" i="4"/>
  <c r="F16" i="4"/>
  <c r="F20" i="4"/>
  <c r="G18" i="4"/>
  <c r="G23" i="4"/>
  <c r="F18" i="4"/>
  <c r="F19" i="4"/>
  <c r="G19" i="4"/>
  <c r="G21" i="4"/>
  <c r="G24" i="4"/>
  <c r="G15" i="4"/>
  <c r="F23" i="4"/>
  <c r="E24" i="5"/>
  <c r="E23" i="5"/>
  <c r="E16" i="5"/>
  <c r="E18" i="5"/>
  <c r="E19" i="5"/>
  <c r="E20" i="5"/>
  <c r="E15" i="5"/>
  <c r="E23" i="4"/>
  <c r="E15" i="4"/>
  <c r="E16" i="4"/>
  <c r="E18" i="4"/>
  <c r="E19" i="4"/>
  <c r="E20" i="4"/>
  <c r="E21" i="4"/>
  <c r="D16" i="4"/>
  <c r="D20" i="5"/>
  <c r="C16" i="5"/>
  <c r="C19" i="4"/>
  <c r="C20" i="4"/>
  <c r="C21" i="4"/>
  <c r="C24" i="4"/>
  <c r="C25" i="4" s="1"/>
  <c r="D19" i="4"/>
  <c r="D20" i="4"/>
  <c r="D21" i="4"/>
  <c r="D23" i="4"/>
  <c r="D24" i="4"/>
  <c r="C15" i="4"/>
  <c r="C16" i="4"/>
  <c r="C18" i="4"/>
  <c r="D15" i="4"/>
  <c r="D18" i="4"/>
  <c r="C18" i="5"/>
  <c r="D18" i="5"/>
  <c r="C21" i="5"/>
  <c r="D21" i="5"/>
  <c r="C24" i="5"/>
  <c r="C25" i="5" s="1"/>
  <c r="D24" i="5"/>
  <c r="C19" i="5"/>
  <c r="D16" i="5"/>
  <c r="D15" i="5"/>
  <c r="D19" i="5"/>
  <c r="C20" i="5"/>
  <c r="C15" i="5"/>
  <c r="D23" i="5"/>
  <c r="E25" i="4" l="1"/>
  <c r="E25" i="5"/>
  <c r="G25" i="4"/>
  <c r="D25" i="4"/>
  <c r="F25" i="4"/>
  <c r="G25" i="5"/>
  <c r="F25" i="5"/>
  <c r="D25" i="5"/>
</calcChain>
</file>

<file path=xl/sharedStrings.xml><?xml version="1.0" encoding="utf-8"?>
<sst xmlns="http://schemas.openxmlformats.org/spreadsheetml/2006/main" count="1321" uniqueCount="92">
  <si>
    <t>Q</t>
  </si>
  <si>
    <t>A</t>
  </si>
  <si>
    <t>V</t>
  </si>
  <si>
    <t>F</t>
  </si>
  <si>
    <t>D</t>
  </si>
  <si>
    <t>E</t>
  </si>
  <si>
    <t>K</t>
  </si>
  <si>
    <t>PH50</t>
  </si>
  <si>
    <t>AA</t>
  </si>
  <si>
    <t>size</t>
  </si>
  <si>
    <t>G</t>
  </si>
  <si>
    <t>S</t>
  </si>
  <si>
    <t>C</t>
  </si>
  <si>
    <t>P</t>
  </si>
  <si>
    <t>N</t>
  </si>
  <si>
    <t>T</t>
  </si>
  <si>
    <t>H</t>
  </si>
  <si>
    <t>M</t>
  </si>
  <si>
    <t>I</t>
  </si>
  <si>
    <t>L</t>
  </si>
  <si>
    <t>R</t>
  </si>
  <si>
    <t>Y</t>
  </si>
  <si>
    <t>W</t>
  </si>
  <si>
    <t>kyte_doolitle</t>
  </si>
  <si>
    <t>hydropathy</t>
  </si>
  <si>
    <t>kd</t>
  </si>
  <si>
    <t>mean</t>
  </si>
  <si>
    <t>stdev</t>
  </si>
  <si>
    <t>Correlation</t>
  </si>
  <si>
    <t>p_val</t>
  </si>
  <si>
    <t>slope</t>
  </si>
  <si>
    <t>intercept</t>
  </si>
  <si>
    <t>r2</t>
  </si>
  <si>
    <t>n</t>
  </si>
  <si>
    <t>df</t>
  </si>
  <si>
    <t>t_stat</t>
  </si>
  <si>
    <t>pHD50</t>
  </si>
  <si>
    <t>###############################################################################################################################################</t>
  </si>
  <si>
    <t>WT=H73</t>
  </si>
  <si>
    <t xml:space="preserve">source: </t>
  </si>
  <si>
    <t>flexibility</t>
  </si>
  <si>
    <t>polarity</t>
  </si>
  <si>
    <t>alpha_hx_prop</t>
  </si>
  <si>
    <t>alpha</t>
  </si>
  <si>
    <t>bulkyness</t>
  </si>
  <si>
    <t>Surface</t>
  </si>
  <si>
    <t>:</t>
  </si>
  <si>
    <t>C.Chothia, J. Mol. Biol., 105(1975)1-14</t>
  </si>
  <si>
    <t xml:space="preserve">paper: </t>
  </si>
  <si>
    <t>A.A. Zamyatin, Prog. Biophys. Mol. Biol., 24(1972)107-123</t>
  </si>
  <si>
    <t>surf</t>
  </si>
  <si>
    <t>source</t>
  </si>
  <si>
    <t>Deleage G., Roux B.</t>
  </si>
  <si>
    <r>
      <t>Reference:</t>
    </r>
    <r>
      <rPr>
        <sz val="12"/>
        <color theme="1"/>
        <rFont val="Calibri"/>
        <family val="2"/>
        <scheme val="minor"/>
      </rPr>
      <t xml:space="preserve"> Protein Engineering 1:289-294(1987).</t>
    </r>
  </si>
  <si>
    <t>beta-sheet</t>
  </si>
  <si>
    <t>beta</t>
  </si>
  <si>
    <t>WT=D78</t>
  </si>
  <si>
    <t>PHD50</t>
  </si>
  <si>
    <t>WT=K374</t>
  </si>
  <si>
    <t>WT=E375</t>
  </si>
  <si>
    <t>WT=E413</t>
  </si>
  <si>
    <t>WT=K211</t>
  </si>
  <si>
    <t>WT=K246</t>
  </si>
  <si>
    <t>WT=E242</t>
  </si>
  <si>
    <t>WT=H329</t>
  </si>
  <si>
    <t>WT=E418</t>
  </si>
  <si>
    <t>WT=K384</t>
  </si>
  <si>
    <t>WT=K291</t>
  </si>
  <si>
    <t>https://www.imgt.org/IMGTeducation/Aide-memoire/_UK/aminoacids/charge/</t>
  </si>
  <si>
    <t>h_ac</t>
  </si>
  <si>
    <t>h_do</t>
  </si>
  <si>
    <t>bulkiness</t>
  </si>
  <si>
    <t>surface (A2)</t>
  </si>
  <si>
    <t>WT=K388</t>
  </si>
  <si>
    <t>The more the beta propensity, the more difficult to activate</t>
  </si>
  <si>
    <t xml:space="preserve">An Hbond acceptor is required at position 413. </t>
  </si>
  <si>
    <t>not especially an HB acceptor</t>
  </si>
  <si>
    <t>But in this case, the regression analysis is biased: actually, this position requires an acidic residue (D or E)</t>
  </si>
  <si>
    <t>WT=H173</t>
  </si>
  <si>
    <t>WT=E219</t>
  </si>
  <si>
    <t>beta_turn</t>
  </si>
  <si>
    <t>coil</t>
  </si>
  <si>
    <t>b_turn</t>
  </si>
  <si>
    <t xml:space="preserve">select residue satisfying all the three features: </t>
  </si>
  <si>
    <t>top 1</t>
  </si>
  <si>
    <t>top 2</t>
  </si>
  <si>
    <t>top 3</t>
  </si>
  <si>
    <t>top 4</t>
  </si>
  <si>
    <t>top 5</t>
  </si>
  <si>
    <t>ampl</t>
  </si>
  <si>
    <r>
      <t>Reference:</t>
    </r>
    <r>
      <rPr>
        <sz val="12"/>
        <color theme="1"/>
        <rFont val="Calibri"/>
        <family val="2"/>
        <scheme val="minor"/>
      </rPr>
      <t xml:space="preserve"> J. Mol. Biol. 157:105-132(1982).</t>
    </r>
  </si>
  <si>
    <r>
      <t>Author(s):</t>
    </r>
    <r>
      <rPr>
        <sz val="12"/>
        <color theme="1"/>
        <rFont val="Calibri"/>
        <family val="2"/>
        <scheme val="minor"/>
      </rPr>
      <t xml:space="preserve"> Kyte J., Doolittle R.F.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</si>
</sst>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2" fillId="0" borderId="0" xfId="0" applyFont="1"/>
    <xf numFmtId="1" fontId="0" fillId="0" borderId="0" xfId="0" applyNumberFormat="1"/>
    <xf numFmtId="2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Hbond acceptor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252404673905553"/>
                  <c:y val="-0.433872172549273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E413_act!$L$2:$L$9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E413_act!$B$2:$B$9</c:f>
              <c:numCache>
                <c:formatCode>General</c:formatCode>
                <c:ptCount val="8"/>
                <c:pt idx="0">
                  <c:v>6.5059635036496353</c:v>
                </c:pt>
                <c:pt idx="1">
                  <c:v>6.1125333333333325</c:v>
                </c:pt>
                <c:pt idx="2">
                  <c:v>6.2036874999999991</c:v>
                </c:pt>
                <c:pt idx="3">
                  <c:v>6.1959090909090913</c:v>
                </c:pt>
                <c:pt idx="4">
                  <c:v>6.4047000000000001</c:v>
                </c:pt>
                <c:pt idx="5">
                  <c:v>5.9634</c:v>
                </c:pt>
                <c:pt idx="6">
                  <c:v>6.0820000000000007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4F-B84F-A5D4-A6D0C06BA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448975"/>
        <c:axId val="2108123519"/>
      </c:scatterChart>
      <c:valAx>
        <c:axId val="210844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23519"/>
        <c:crosses val="autoZero"/>
        <c:crossBetween val="midCat"/>
      </c:valAx>
      <c:valAx>
        <c:axId val="21081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4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450825999691213"/>
                  <c:y val="1.06329314469494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K374_act!$C$2:$C$9</c:f>
              <c:numCache>
                <c:formatCode>General</c:formatCode>
                <c:ptCount val="8"/>
                <c:pt idx="0">
                  <c:v>168.6</c:v>
                </c:pt>
                <c:pt idx="1">
                  <c:v>88.6</c:v>
                </c:pt>
                <c:pt idx="2">
                  <c:v>138.4</c:v>
                </c:pt>
                <c:pt idx="3">
                  <c:v>143.80000000000001</c:v>
                </c:pt>
                <c:pt idx="4">
                  <c:v>173.4</c:v>
                </c:pt>
                <c:pt idx="5">
                  <c:v>153.19999999999999</c:v>
                </c:pt>
                <c:pt idx="6">
                  <c:v>162.9</c:v>
                </c:pt>
                <c:pt idx="7">
                  <c:v>140</c:v>
                </c:pt>
              </c:numCache>
            </c:numRef>
          </c:xVal>
          <c:yVal>
            <c:numRef>
              <c:f>K374_act!$B$2:$B$9</c:f>
              <c:numCache>
                <c:formatCode>General</c:formatCode>
                <c:ptCount val="8"/>
                <c:pt idx="0">
                  <c:v>6.5059635036496353</c:v>
                </c:pt>
                <c:pt idx="1">
                  <c:v>6.1378750000000011</c:v>
                </c:pt>
                <c:pt idx="2">
                  <c:v>6.3216470588235296</c:v>
                </c:pt>
                <c:pt idx="3">
                  <c:v>6.2394374999999993</c:v>
                </c:pt>
                <c:pt idx="4">
                  <c:v>6.5823749999999999</c:v>
                </c:pt>
                <c:pt idx="5">
                  <c:v>6.3166363636363636</c:v>
                </c:pt>
                <c:pt idx="6">
                  <c:v>6.3994</c:v>
                </c:pt>
                <c:pt idx="7">
                  <c:v>6.1529999999999996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15-E142-813C-C3576FCB2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448975"/>
        <c:axId val="2108123519"/>
      </c:scatterChart>
      <c:valAx>
        <c:axId val="210844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23519"/>
        <c:crosses val="autoZero"/>
        <c:crossBetween val="midCat"/>
      </c:valAx>
      <c:valAx>
        <c:axId val="210812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44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45</xdr:row>
      <xdr:rowOff>0</xdr:rowOff>
    </xdr:from>
    <xdr:to>
      <xdr:col>12</xdr:col>
      <xdr:colOff>457200</xdr:colOff>
      <xdr:row>60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318E8D-D075-494A-9EC3-61F462C09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45</xdr:row>
      <xdr:rowOff>25400</xdr:rowOff>
    </xdr:from>
    <xdr:to>
      <xdr:col>14</xdr:col>
      <xdr:colOff>127000</xdr:colOff>
      <xdr:row>60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DEC87F-AD63-1446-A7CF-BD8F0B827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241300</xdr:colOff>
      <xdr:row>2</xdr:row>
      <xdr:rowOff>76200</xdr:rowOff>
    </xdr:from>
    <xdr:to>
      <xdr:col>14</xdr:col>
      <xdr:colOff>558800</xdr:colOff>
      <xdr:row>14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8FB43-2F6C-E6B4-A2D3-4E1BE8C03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4300" y="482600"/>
          <a:ext cx="6921500" cy="254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584200</xdr:colOff>
      <xdr:row>0</xdr:row>
      <xdr:rowOff>165100</xdr:rowOff>
    </xdr:from>
    <xdr:to>
      <xdr:col>9</xdr:col>
      <xdr:colOff>584200</xdr:colOff>
      <xdr:row>12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4C91E-2C24-5DC4-D300-194D9562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0" y="165100"/>
          <a:ext cx="4127500" cy="2413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50800</xdr:colOff>
      <xdr:row>2</xdr:row>
      <xdr:rowOff>63500</xdr:rowOff>
    </xdr:from>
    <xdr:to>
      <xdr:col>9</xdr:col>
      <xdr:colOff>419100</xdr:colOff>
      <xdr:row>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3979D-E33C-978D-B5C2-B9D2EB9DC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469900"/>
          <a:ext cx="4495800" cy="1219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2</xdr:row>
      <xdr:rowOff>139700</xdr:rowOff>
    </xdr:from>
    <xdr:to>
      <xdr:col>10</xdr:col>
      <xdr:colOff>0</xdr:colOff>
      <xdr:row>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E35E65-AC83-0DD3-65F9-C1C5CC08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800" y="546100"/>
          <a:ext cx="4013200" cy="143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8893-203A-2D44-8AE9-049FA7D2ED58}">
  <dimension ref="A1:V29"/>
  <sheetViews>
    <sheetView workbookViewId="0">
      <selection activeCell="B6" sqref="B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65</v>
      </c>
      <c r="B1" t="s">
        <v>57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7.0444444444444443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14</v>
      </c>
      <c r="B4">
        <v>7.0065454545454564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114.1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11.6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0.77200000000000002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0.60399999999999998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12.82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160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1.5720000000000001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1.167</v>
      </c>
      <c r="O4" s="1"/>
      <c r="P4" s="1"/>
      <c r="T4" s="1"/>
      <c r="U4" s="1"/>
      <c r="V4" s="1"/>
    </row>
    <row r="5" spans="1:22" x14ac:dyDescent="0.2">
      <c r="A5" t="s">
        <v>1</v>
      </c>
      <c r="B5">
        <v>7.0990000000000002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88.6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8.1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1.4890000000000001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0.70899999999999996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115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0.78800000000000003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0.82399999999999995</v>
      </c>
      <c r="O5" s="1"/>
      <c r="P5" s="1"/>
      <c r="T5" s="1"/>
      <c r="U5" s="1"/>
      <c r="V5" s="1"/>
    </row>
    <row r="6" spans="1:22" x14ac:dyDescent="0.2">
      <c r="A6" t="s">
        <v>4</v>
      </c>
      <c r="B6" s="8">
        <v>6.8357272699999996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111.1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0.92400000000000004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0.54100000000000004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11.68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1.1970000000000001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1.1970000000000001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7.107413793103448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Please enter the one-letter code of the residue in column A"))))))))))))))))))))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Please enter the one-letter code of the residue in column A"))))))))))))))))))))</f>
        <v>0.89300000000000002</v>
      </c>
      <c r="O7" s="1"/>
      <c r="P7" s="1"/>
      <c r="T7" s="1"/>
      <c r="U7" s="1"/>
      <c r="V7" s="1"/>
    </row>
    <row r="8" spans="1:22" x14ac:dyDescent="0.2">
      <c r="N8" s="1"/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L15" si="0">AVERAGE(B2:B13)</f>
        <v>7.0413057776328429</v>
      </c>
      <c r="C15" s="1">
        <f t="shared" si="0"/>
        <v>128.23333333333335</v>
      </c>
      <c r="D15" s="1">
        <f t="shared" si="0"/>
        <v>-2.7333333333333329</v>
      </c>
      <c r="E15" s="1">
        <f t="shared" si="0"/>
        <v>0.47500000000000009</v>
      </c>
      <c r="F15" s="1">
        <f t="shared" si="0"/>
        <v>11</v>
      </c>
      <c r="G15" s="1">
        <f t="shared" si="0"/>
        <v>1.1795000000000002</v>
      </c>
      <c r="H15" s="1">
        <f t="shared" si="0"/>
        <v>0.6968333333333333</v>
      </c>
      <c r="I15" s="1">
        <f t="shared" si="0"/>
        <v>13.050000000000002</v>
      </c>
      <c r="J15" s="1">
        <f t="shared" si="0"/>
        <v>170</v>
      </c>
      <c r="K15" s="1">
        <f t="shared" si="0"/>
        <v>1.5</v>
      </c>
      <c r="L15" s="1">
        <f t="shared" si="0"/>
        <v>2</v>
      </c>
      <c r="M15" s="1">
        <f t="shared" ref="M15:N15" si="1">AVERAGE(M2:M13)</f>
        <v>1.1025</v>
      </c>
      <c r="N15" s="1">
        <f t="shared" si="1"/>
        <v>0.96483333333333332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L16" si="2">STDEV(B2:B13)</f>
        <v>0.1131712302064679</v>
      </c>
      <c r="C16" s="1">
        <f t="shared" si="2"/>
        <v>29.832242065702371</v>
      </c>
      <c r="D16" s="1">
        <f t="shared" si="2"/>
        <v>2.2650974960620718</v>
      </c>
      <c r="E16" s="1">
        <f t="shared" si="2"/>
        <v>6.090976933136362E-2</v>
      </c>
      <c r="F16" s="1">
        <f t="shared" si="2"/>
        <v>1.7297398648351743</v>
      </c>
      <c r="G16" s="1">
        <f t="shared" si="2"/>
        <v>0.29483809116191168</v>
      </c>
      <c r="H16" s="1">
        <f t="shared" si="2"/>
        <v>0.15505278671041875</v>
      </c>
      <c r="I16" s="1">
        <f t="shared" si="2"/>
        <v>1.2708737152054093</v>
      </c>
      <c r="J16" s="1">
        <f t="shared" si="2"/>
        <v>37.549966711037172</v>
      </c>
      <c r="K16" s="1">
        <f t="shared" si="2"/>
        <v>1.9748417658131499</v>
      </c>
      <c r="L16" s="1">
        <f t="shared" si="2"/>
        <v>1.7888543819998317</v>
      </c>
      <c r="M16" s="1">
        <f t="shared" ref="M16:N16" si="3">STDEV(M2:M13)</f>
        <v>0.27490125499895429</v>
      </c>
      <c r="N16" s="1">
        <f t="shared" si="3"/>
        <v>0.17979590280834254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L18" si="4">CORREL($B2:$B13,C2:C13)</f>
        <v>0.35037089523491516</v>
      </c>
      <c r="D18" s="1">
        <f t="shared" si="4"/>
        <v>0.17885605456438453</v>
      </c>
      <c r="E18" s="1">
        <f t="shared" si="4"/>
        <v>-0.19702537167235532</v>
      </c>
      <c r="F18" s="1">
        <f t="shared" si="4"/>
        <v>-0.49707853822864595</v>
      </c>
      <c r="G18" s="1">
        <f t="shared" si="4"/>
        <v>0.74466737203945188</v>
      </c>
      <c r="H18" s="1">
        <f t="shared" si="4"/>
        <v>0.41538046968396941</v>
      </c>
      <c r="I18" s="1">
        <f t="shared" si="4"/>
        <v>0.47958572113449088</v>
      </c>
      <c r="J18" s="1">
        <f t="shared" si="4"/>
        <v>0.33985872086871899</v>
      </c>
      <c r="K18" s="1">
        <f t="shared" si="4"/>
        <v>0.23919679578871358</v>
      </c>
      <c r="L18" s="1">
        <f t="shared" si="4"/>
        <v>-0.42674473474291208</v>
      </c>
      <c r="M18" s="1">
        <f t="shared" ref="M18:N18" si="5">CORREL($B2:$B13,M2:M13)</f>
        <v>-0.39564043592271997</v>
      </c>
      <c r="N18" s="1">
        <f t="shared" si="5"/>
        <v>-0.89248445303856661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L19" si="6">SLOPE(C2:C13, $B2:$B13)</f>
        <v>92.358714669406297</v>
      </c>
      <c r="D19" s="2">
        <f t="shared" si="6"/>
        <v>3.5797649332804995</v>
      </c>
      <c r="E19" s="2">
        <f t="shared" si="6"/>
        <v>-0.10604081902348718</v>
      </c>
      <c r="F19" s="2">
        <f t="shared" si="6"/>
        <v>-7.5974835827042488</v>
      </c>
      <c r="G19" s="2">
        <f t="shared" si="6"/>
        <v>1.9400364043239098</v>
      </c>
      <c r="H19" s="2">
        <f t="shared" si="6"/>
        <v>0.56910134538681778</v>
      </c>
      <c r="I19" s="2">
        <f t="shared" si="6"/>
        <v>5.3855815304446724</v>
      </c>
      <c r="J19" s="2">
        <f t="shared" si="6"/>
        <v>112.76438041535685</v>
      </c>
      <c r="K19" s="2">
        <f t="shared" si="6"/>
        <v>4.1739921154027853</v>
      </c>
      <c r="L19" s="2">
        <f t="shared" si="6"/>
        <v>-6.7453909208860541</v>
      </c>
      <c r="M19" s="2">
        <f t="shared" ref="M19:N19" si="7">SLOPE(M2:M13, $B2:$B13)</f>
        <v>-0.96103976394941681</v>
      </c>
      <c r="N19" s="2">
        <f t="shared" si="7"/>
        <v>-1.4178961179774061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L20" si="8">INTERCEPT(C2:C13, $B2:$B13)</f>
        <v>-522.09261788310039</v>
      </c>
      <c r="D20" s="2">
        <f t="shared" si="8"/>
        <v>-27.939552840608766</v>
      </c>
      <c r="E20" s="2">
        <f t="shared" si="8"/>
        <v>1.2216658316549991</v>
      </c>
      <c r="F20" s="2">
        <f t="shared" si="8"/>
        <v>64.4962050463661</v>
      </c>
      <c r="G20" s="2">
        <f t="shared" si="8"/>
        <v>-12.480889542583991</v>
      </c>
      <c r="H20" s="2">
        <f t="shared" si="8"/>
        <v>-3.3103832579974908</v>
      </c>
      <c r="I20" s="2">
        <f t="shared" si="8"/>
        <v>-24.871526346232798</v>
      </c>
      <c r="J20" s="2">
        <f t="shared" si="8"/>
        <v>-624.00848332984003</v>
      </c>
      <c r="K20" s="2">
        <f t="shared" si="8"/>
        <v>-27.890354797979565</v>
      </c>
      <c r="L20" s="2">
        <f t="shared" si="8"/>
        <v>49.496360063627094</v>
      </c>
      <c r="M20" s="2">
        <f t="shared" ref="M20:N20" si="9">INTERCEPT(M2:M13, $B2:$B13)</f>
        <v>7.8694748424319325</v>
      </c>
      <c r="N20" s="2">
        <f t="shared" si="9"/>
        <v>10.948673460930822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L21" si="10">RSQ(C2:C13, $B2:$B13)</f>
        <v>0.1227597642277159</v>
      </c>
      <c r="D21" s="2">
        <f t="shared" si="10"/>
        <v>3.1989488254338096E-2</v>
      </c>
      <c r="E21" s="2">
        <f t="shared" si="10"/>
        <v>3.8818997082629744E-2</v>
      </c>
      <c r="F21" s="2">
        <f t="shared" si="10"/>
        <v>0.24708707316752737</v>
      </c>
      <c r="G21" s="2">
        <f t="shared" si="10"/>
        <v>0.55452949498014326</v>
      </c>
      <c r="H21" s="2">
        <f t="shared" si="10"/>
        <v>0.17254093459487502</v>
      </c>
      <c r="I21" s="2">
        <f t="shared" si="10"/>
        <v>0.23000246391608967</v>
      </c>
      <c r="J21" s="2">
        <f t="shared" si="10"/>
        <v>0.11550395015052181</v>
      </c>
      <c r="K21" s="2">
        <f t="shared" si="10"/>
        <v>5.7215107115587562E-2</v>
      </c>
      <c r="L21" s="2">
        <f t="shared" si="10"/>
        <v>0.18211106863079843</v>
      </c>
      <c r="M21" s="2">
        <f t="shared" ref="M21:N21" si="11">RSQ(M2:M13, $B2:$B13)</f>
        <v>0.15653135453711983</v>
      </c>
      <c r="N21" s="2">
        <f t="shared" si="11"/>
        <v>0.79652849891554978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6</v>
      </c>
      <c r="D22">
        <f t="shared" ref="D22:L22" si="12">COUNT($B2:$B13)</f>
        <v>6</v>
      </c>
      <c r="E22">
        <f t="shared" si="12"/>
        <v>6</v>
      </c>
      <c r="F22">
        <f t="shared" si="12"/>
        <v>6</v>
      </c>
      <c r="G22">
        <f t="shared" si="12"/>
        <v>6</v>
      </c>
      <c r="H22">
        <f t="shared" si="12"/>
        <v>6</v>
      </c>
      <c r="I22">
        <f t="shared" si="12"/>
        <v>6</v>
      </c>
      <c r="J22">
        <f t="shared" si="12"/>
        <v>6</v>
      </c>
      <c r="K22">
        <f t="shared" si="12"/>
        <v>6</v>
      </c>
      <c r="L22">
        <f t="shared" si="12"/>
        <v>6</v>
      </c>
      <c r="M22">
        <f t="shared" ref="M22:N22" si="13">COUNT($B2:$B13)</f>
        <v>6</v>
      </c>
      <c r="N22">
        <f t="shared" si="13"/>
        <v>6</v>
      </c>
    </row>
    <row r="23" spans="1:22" x14ac:dyDescent="0.2">
      <c r="A23" t="s">
        <v>34</v>
      </c>
      <c r="C23">
        <f t="shared" ref="C23:L23" si="14">C22-2</f>
        <v>4</v>
      </c>
      <c r="D23">
        <f t="shared" si="14"/>
        <v>4</v>
      </c>
      <c r="E23">
        <f t="shared" si="14"/>
        <v>4</v>
      </c>
      <c r="F23">
        <f t="shared" si="14"/>
        <v>4</v>
      </c>
      <c r="G23">
        <f t="shared" si="14"/>
        <v>4</v>
      </c>
      <c r="H23">
        <f t="shared" si="14"/>
        <v>4</v>
      </c>
      <c r="I23">
        <f t="shared" si="14"/>
        <v>4</v>
      </c>
      <c r="J23">
        <f t="shared" si="14"/>
        <v>4</v>
      </c>
      <c r="K23">
        <f t="shared" si="14"/>
        <v>4</v>
      </c>
      <c r="L23">
        <f t="shared" si="14"/>
        <v>4</v>
      </c>
      <c r="M23">
        <f t="shared" ref="M23:N23" si="15">M22-2</f>
        <v>4</v>
      </c>
      <c r="N23">
        <f t="shared" si="15"/>
        <v>4</v>
      </c>
    </row>
    <row r="24" spans="1:22" x14ac:dyDescent="0.2">
      <c r="A24" t="s">
        <v>35</v>
      </c>
      <c r="C24" s="2">
        <f t="shared" ref="C24:L24" si="16">SLOPE(C2:C13,$B2:$B13)/(STEYX(C2:C13,$B2:$B13)/SQRT(DEVSQ($B2:$B13)))</f>
        <v>0.74816734197174162</v>
      </c>
      <c r="D24" s="2">
        <f t="shared" si="16"/>
        <v>0.36357465883593654</v>
      </c>
      <c r="E24" s="2">
        <f t="shared" si="16"/>
        <v>-0.4019292028673544</v>
      </c>
      <c r="F24" s="2">
        <f t="shared" si="16"/>
        <v>-1.145730914060979</v>
      </c>
      <c r="G24" s="2">
        <f t="shared" si="16"/>
        <v>2.2314278234071754</v>
      </c>
      <c r="H24" s="2">
        <f t="shared" si="16"/>
        <v>0.91327760787945889</v>
      </c>
      <c r="I24" s="2">
        <f t="shared" si="16"/>
        <v>1.0930790537142809</v>
      </c>
      <c r="J24" s="2">
        <f t="shared" si="16"/>
        <v>0.72273729398090336</v>
      </c>
      <c r="K24" s="2">
        <f t="shared" si="16"/>
        <v>0.49269601078371766</v>
      </c>
      <c r="L24" s="2">
        <f t="shared" si="16"/>
        <v>-0.94373704213622311</v>
      </c>
      <c r="M24" s="2">
        <f t="shared" ref="M24:N24" si="17">SLOPE(M2:M13,$B2:$B13)/(STEYX(M2:M13,$B2:$B13)/SQRT(DEVSQ($B2:$B13)))</f>
        <v>-0.86158116409822805</v>
      </c>
      <c r="N24" s="2">
        <f t="shared" si="17"/>
        <v>-3.9571167212347413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L25" si="18">_xlfn.T.DIST.2T(ABS(C24), C23)</f>
        <v>0.49594938139327299</v>
      </c>
      <c r="D25" s="2">
        <f t="shared" si="18"/>
        <v>0.73457667498177548</v>
      </c>
      <c r="E25" s="2">
        <f t="shared" si="18"/>
        <v>0.70828610615554366</v>
      </c>
      <c r="F25" s="2">
        <f t="shared" si="18"/>
        <v>0.31579303322968572</v>
      </c>
      <c r="G25" s="2">
        <f t="shared" si="18"/>
        <v>8.9468952813436212E-2</v>
      </c>
      <c r="H25" s="2">
        <f t="shared" si="18"/>
        <v>0.41276436269991096</v>
      </c>
      <c r="I25" s="2">
        <f t="shared" si="18"/>
        <v>0.33577436705821756</v>
      </c>
      <c r="J25" s="2">
        <f t="shared" si="18"/>
        <v>0.50983943107364171</v>
      </c>
      <c r="K25" s="2">
        <f t="shared" si="18"/>
        <v>0.64804764146330796</v>
      </c>
      <c r="L25" s="2">
        <f t="shared" si="18"/>
        <v>0.3987403677239314</v>
      </c>
      <c r="M25" s="2">
        <f t="shared" ref="M25:N25" si="19">_xlfn.T.DIST.2T(ABS(M24), M23)</f>
        <v>0.43750441278823987</v>
      </c>
      <c r="N25" s="2">
        <f t="shared" si="19"/>
        <v>1.6717971284287349E-2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0.31897643370370776</v>
      </c>
    </row>
    <row r="29" spans="1:22" x14ac:dyDescent="0.2">
      <c r="B29" s="8"/>
    </row>
  </sheetData>
  <conditionalFormatting sqref="C25:N25">
    <cfRule type="cellIs" dxfId="29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E4F1-C39B-944A-A4D6-2B157C532BFA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65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6.0184285714285712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14</v>
      </c>
      <c r="B4">
        <v>5.8849999999999998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114.1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11.6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0.77200000000000002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0.60399999999999998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12.82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160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1.5720000000000001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1.167</v>
      </c>
      <c r="O4" s="1"/>
      <c r="P4" s="1"/>
      <c r="T4" s="1"/>
      <c r="U4" s="1"/>
      <c r="V4" s="1"/>
    </row>
    <row r="5" spans="1:22" x14ac:dyDescent="0.2">
      <c r="A5" t="s">
        <v>1</v>
      </c>
      <c r="B5">
        <v>5.6658571428571429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88.6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8.1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1.4890000000000001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0.70899999999999996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115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0.78800000000000003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0.82399999999999995</v>
      </c>
      <c r="O5" s="1"/>
      <c r="P5" s="1"/>
      <c r="T5" s="1"/>
      <c r="U5" s="1"/>
      <c r="V5" s="1"/>
    </row>
    <row r="6" spans="1:22" x14ac:dyDescent="0.2">
      <c r="A6" t="s">
        <v>4</v>
      </c>
      <c r="B6">
        <v>6.3603000000000005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111.1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0.92400000000000004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0.54100000000000004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11.68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1.1970000000000001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1.1970000000000001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6.1947499999999991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Please enter the one-letter code of the residue in column A"))))))))))))))))))))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Please enter the one-letter code of the residue in column A"))))))))))))))))))))</f>
        <v>0.89300000000000002</v>
      </c>
      <c r="O7" s="1"/>
      <c r="P7" s="1"/>
      <c r="T7" s="1"/>
      <c r="U7" s="1"/>
      <c r="V7" s="1"/>
    </row>
    <row r="8" spans="1:22" x14ac:dyDescent="0.2">
      <c r="N8" s="1"/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6.1050498696558924</v>
      </c>
      <c r="C15" s="1">
        <f t="shared" si="0"/>
        <v>128.23333333333335</v>
      </c>
      <c r="D15" s="1">
        <f t="shared" si="0"/>
        <v>-2.7333333333333329</v>
      </c>
      <c r="E15" s="1">
        <f t="shared" si="0"/>
        <v>0.47500000000000009</v>
      </c>
      <c r="F15" s="1">
        <f t="shared" si="0"/>
        <v>11</v>
      </c>
      <c r="G15" s="1">
        <f t="shared" si="0"/>
        <v>1.1795000000000002</v>
      </c>
      <c r="H15" s="1">
        <f t="shared" si="0"/>
        <v>0.6968333333333333</v>
      </c>
      <c r="I15" s="1">
        <f t="shared" si="0"/>
        <v>13.050000000000002</v>
      </c>
      <c r="J15" s="1">
        <f t="shared" si="0"/>
        <v>170</v>
      </c>
      <c r="K15" s="1">
        <f t="shared" si="0"/>
        <v>1.5</v>
      </c>
      <c r="L15" s="1">
        <f t="shared" si="0"/>
        <v>2</v>
      </c>
      <c r="M15" s="1">
        <f t="shared" si="0"/>
        <v>1.1025</v>
      </c>
      <c r="N15" s="1">
        <f t="shared" si="0"/>
        <v>0.96483333333333332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0.31072364894278182</v>
      </c>
      <c r="C16" s="1">
        <f t="shared" si="1"/>
        <v>29.832242065702371</v>
      </c>
      <c r="D16" s="1">
        <f t="shared" si="1"/>
        <v>2.2650974960620718</v>
      </c>
      <c r="E16" s="1">
        <f t="shared" si="1"/>
        <v>6.090976933136362E-2</v>
      </c>
      <c r="F16" s="1">
        <f t="shared" si="1"/>
        <v>1.7297398648351743</v>
      </c>
      <c r="G16" s="1">
        <f t="shared" si="1"/>
        <v>0.29483809116191168</v>
      </c>
      <c r="H16" s="1">
        <f t="shared" si="1"/>
        <v>0.15505278671041875</v>
      </c>
      <c r="I16" s="1">
        <f t="shared" si="1"/>
        <v>1.2708737152054093</v>
      </c>
      <c r="J16" s="1">
        <f t="shared" si="1"/>
        <v>37.549966711037172</v>
      </c>
      <c r="K16" s="1">
        <f t="shared" si="1"/>
        <v>1.9748417658131499</v>
      </c>
      <c r="L16" s="1">
        <f t="shared" si="1"/>
        <v>1.7888543819998317</v>
      </c>
      <c r="M16" s="1">
        <f t="shared" si="1"/>
        <v>0.27490125499895429</v>
      </c>
      <c r="N16" s="1">
        <f t="shared" si="1"/>
        <v>0.17979590280834254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0.49457306432114317</v>
      </c>
      <c r="D18" s="1">
        <f t="shared" si="2"/>
        <v>-0.70570282299166376</v>
      </c>
      <c r="E18" s="1">
        <f t="shared" si="2"/>
        <v>0.80733665562734547</v>
      </c>
      <c r="F18" s="1">
        <f t="shared" si="2"/>
        <v>0.80814675444424844</v>
      </c>
      <c r="G18" s="1">
        <f t="shared" si="2"/>
        <v>5.2294938460195659E-2</v>
      </c>
      <c r="H18" s="1">
        <f t="shared" si="2"/>
        <v>-0.28696238815691577</v>
      </c>
      <c r="I18" s="1">
        <f t="shared" si="2"/>
        <v>0.29334913038988408</v>
      </c>
      <c r="J18" s="1">
        <f t="shared" si="2"/>
        <v>0.57143686548362382</v>
      </c>
      <c r="K18" s="1">
        <f t="shared" si="2"/>
        <v>-5.3726732206462194E-2</v>
      </c>
      <c r="L18" s="1">
        <f t="shared" si="2"/>
        <v>0.72370287629801877</v>
      </c>
      <c r="M18" s="1">
        <f t="shared" si="2"/>
        <v>0.16302589736656653</v>
      </c>
      <c r="N18" s="1">
        <f t="shared" si="2"/>
        <v>-3.5768897918214831E-2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47.483425945224688</v>
      </c>
      <c r="D19" s="2">
        <f t="shared" si="3"/>
        <v>-5.1443966455759087</v>
      </c>
      <c r="E19" s="2">
        <f t="shared" si="3"/>
        <v>0.15825859935132244</v>
      </c>
      <c r="F19" s="2">
        <f t="shared" si="3"/>
        <v>4.498800340931858</v>
      </c>
      <c r="G19" s="2">
        <f t="shared" si="3"/>
        <v>4.9621391501723122E-2</v>
      </c>
      <c r="H19" s="2">
        <f t="shared" si="3"/>
        <v>-0.14319578865720681</v>
      </c>
      <c r="I19" s="2">
        <f t="shared" si="3"/>
        <v>1.1998111519973784</v>
      </c>
      <c r="J19" s="2">
        <f t="shared" si="3"/>
        <v>69.056331403731619</v>
      </c>
      <c r="K19" s="2">
        <f t="shared" si="3"/>
        <v>-0.34146675048064379</v>
      </c>
      <c r="L19" s="2">
        <f t="shared" si="3"/>
        <v>4.1664001627696736</v>
      </c>
      <c r="M19" s="2">
        <f t="shared" si="3"/>
        <v>0.14423113250595382</v>
      </c>
      <c r="N19" s="2">
        <f t="shared" si="3"/>
        <v>-2.0697173567400751E-2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-161.65535004437584</v>
      </c>
      <c r="D20" s="2">
        <f t="shared" si="4"/>
        <v>28.673464737198078</v>
      </c>
      <c r="E20" s="2">
        <f t="shared" si="4"/>
        <v>-0.49117664134171513</v>
      </c>
      <c r="F20" s="2">
        <f t="shared" si="4"/>
        <v>-16.465400435013922</v>
      </c>
      <c r="G20" s="2">
        <f t="shared" si="4"/>
        <v>0.87655893028026144</v>
      </c>
      <c r="H20" s="2">
        <f t="shared" si="4"/>
        <v>1.5710507642102864</v>
      </c>
      <c r="I20" s="2">
        <f t="shared" si="4"/>
        <v>5.7250930828867217</v>
      </c>
      <c r="J20" s="2">
        <f t="shared" si="4"/>
        <v>-251.59234703526585</v>
      </c>
      <c r="K20" s="2">
        <f t="shared" si="4"/>
        <v>3.5846715405136753</v>
      </c>
      <c r="L20" s="2">
        <f t="shared" si="4"/>
        <v>-23.436080770651284</v>
      </c>
      <c r="M20" s="2">
        <f t="shared" si="4"/>
        <v>0.22196174329420493</v>
      </c>
      <c r="N20" s="2">
        <f t="shared" si="4"/>
        <v>1.0911906101232387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0.24460251595200558</v>
      </c>
      <c r="D21" s="2">
        <f t="shared" si="5"/>
        <v>0.49801647437840335</v>
      </c>
      <c r="E21" s="2">
        <f t="shared" si="5"/>
        <v>0.651792475519547</v>
      </c>
      <c r="F21" s="2">
        <f t="shared" si="5"/>
        <v>0.65310117671877221</v>
      </c>
      <c r="G21" s="2">
        <f t="shared" si="5"/>
        <v>2.734760588555651E-3</v>
      </c>
      <c r="H21" s="2">
        <f t="shared" si="5"/>
        <v>8.2347412216720359E-2</v>
      </c>
      <c r="I21" s="2">
        <f t="shared" si="5"/>
        <v>8.6053712300501212E-2</v>
      </c>
      <c r="J21" s="2">
        <f t="shared" si="5"/>
        <v>0.32654009123374905</v>
      </c>
      <c r="K21" s="2">
        <f t="shared" si="5"/>
        <v>2.8865617535849012E-3</v>
      </c>
      <c r="L21" s="2">
        <f t="shared" si="5"/>
        <v>0.52374585316202549</v>
      </c>
      <c r="M21" s="2">
        <f t="shared" si="5"/>
        <v>2.6577443212174274E-2</v>
      </c>
      <c r="N21" s="2">
        <f t="shared" si="5"/>
        <v>1.2794140582836739E-3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6</v>
      </c>
      <c r="D22">
        <f t="shared" ref="D22:N22" si="6">COUNT($B2:$B13)</f>
        <v>6</v>
      </c>
      <c r="E22">
        <f t="shared" si="6"/>
        <v>6</v>
      </c>
      <c r="F22">
        <f t="shared" si="6"/>
        <v>6</v>
      </c>
      <c r="G22">
        <f t="shared" si="6"/>
        <v>6</v>
      </c>
      <c r="H22">
        <f t="shared" si="6"/>
        <v>6</v>
      </c>
      <c r="I22">
        <f t="shared" si="6"/>
        <v>6</v>
      </c>
      <c r="J22">
        <f t="shared" si="6"/>
        <v>6</v>
      </c>
      <c r="K22">
        <f t="shared" si="6"/>
        <v>6</v>
      </c>
      <c r="L22">
        <f t="shared" si="6"/>
        <v>6</v>
      </c>
      <c r="M22">
        <f t="shared" si="6"/>
        <v>6</v>
      </c>
      <c r="N22">
        <f t="shared" si="6"/>
        <v>6</v>
      </c>
    </row>
    <row r="23" spans="1:22" x14ac:dyDescent="0.2">
      <c r="A23" t="s">
        <v>34</v>
      </c>
      <c r="C23">
        <f t="shared" ref="C23:N23" si="7">C22-2</f>
        <v>4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4</v>
      </c>
      <c r="H23">
        <f t="shared" si="7"/>
        <v>4</v>
      </c>
      <c r="I23">
        <f t="shared" si="7"/>
        <v>4</v>
      </c>
      <c r="J23">
        <f t="shared" si="7"/>
        <v>4</v>
      </c>
      <c r="K23">
        <f t="shared" si="7"/>
        <v>4</v>
      </c>
      <c r="L23">
        <f t="shared" si="7"/>
        <v>4</v>
      </c>
      <c r="M23">
        <f t="shared" si="7"/>
        <v>4</v>
      </c>
      <c r="N23">
        <f t="shared" si="7"/>
        <v>4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1.1380797306441601</v>
      </c>
      <c r="D24" s="2">
        <f t="shared" si="8"/>
        <v>-1.9920815727627457</v>
      </c>
      <c r="E24" s="2">
        <f t="shared" si="8"/>
        <v>2.7363118493069361</v>
      </c>
      <c r="F24" s="2">
        <f t="shared" si="8"/>
        <v>2.7442193067341987</v>
      </c>
      <c r="G24" s="2">
        <f t="shared" si="8"/>
        <v>0.10473318505923941</v>
      </c>
      <c r="H24" s="2">
        <f t="shared" si="8"/>
        <v>-0.59912277177972073</v>
      </c>
      <c r="I24" s="2">
        <f t="shared" si="8"/>
        <v>0.61369765557523737</v>
      </c>
      <c r="J24" s="2">
        <f t="shared" si="8"/>
        <v>1.3926512617026592</v>
      </c>
      <c r="K24" s="2">
        <f t="shared" si="8"/>
        <v>-0.10760888650090317</v>
      </c>
      <c r="L24" s="2">
        <f t="shared" si="8"/>
        <v>2.0973499946200271</v>
      </c>
      <c r="M24" s="2">
        <f t="shared" si="8"/>
        <v>0.33047293095503039</v>
      </c>
      <c r="N24" s="2">
        <f t="shared" si="8"/>
        <v>-7.1583603026737372E-2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0.31862731144580747</v>
      </c>
      <c r="D25" s="2">
        <f t="shared" si="9"/>
        <v>0.1171715814451018</v>
      </c>
      <c r="E25" s="2">
        <f t="shared" si="9"/>
        <v>5.2102995233491566E-2</v>
      </c>
      <c r="F25" s="2">
        <f t="shared" si="9"/>
        <v>5.1680666478125047E-2</v>
      </c>
      <c r="G25" s="2">
        <f t="shared" si="9"/>
        <v>0.92162909937804749</v>
      </c>
      <c r="H25" s="2">
        <f t="shared" si="9"/>
        <v>0.58137172279875249</v>
      </c>
      <c r="I25" s="2">
        <f t="shared" si="9"/>
        <v>0.57259819525026034</v>
      </c>
      <c r="J25" s="2">
        <f t="shared" si="9"/>
        <v>0.23614322486923955</v>
      </c>
      <c r="K25" s="2">
        <f t="shared" si="9"/>
        <v>0.91948744445547281</v>
      </c>
      <c r="L25" s="2">
        <f t="shared" si="9"/>
        <v>0.10396387574423056</v>
      </c>
      <c r="M25" s="2">
        <f t="shared" si="9"/>
        <v>0.75762755971483708</v>
      </c>
      <c r="N25" s="2">
        <f t="shared" si="9"/>
        <v>0.9463695347381007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0.84010636079249235</v>
      </c>
    </row>
  </sheetData>
  <conditionalFormatting sqref="C25:N25">
    <cfRule type="cellIs" dxfId="28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E6EF-F6AA-194F-9389-BAB6454E2DD9}">
  <dimension ref="A1:V26"/>
  <sheetViews>
    <sheetView topLeftCell="A2" workbookViewId="0">
      <selection activeCell="F36" sqref="F3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60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f>E418_des!B2</f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7.03125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14</v>
      </c>
      <c r="B4">
        <v>6.8890000000000002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114.1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11.6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0.77200000000000002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0.60399999999999998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12.82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160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1.5720000000000001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1.167</v>
      </c>
      <c r="O4" s="1"/>
      <c r="P4" s="1"/>
      <c r="T4" s="1"/>
      <c r="U4" s="1"/>
      <c r="V4" s="1"/>
    </row>
    <row r="5" spans="1:22" x14ac:dyDescent="0.2">
      <c r="A5" t="s">
        <v>1</v>
      </c>
      <c r="B5">
        <v>6.7650000000000006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88.6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8.1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1.4890000000000001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0.70899999999999996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115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0.78800000000000003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0.82399999999999995</v>
      </c>
      <c r="O5" s="1"/>
      <c r="P5" s="1"/>
      <c r="T5" s="1"/>
      <c r="U5" s="1"/>
      <c r="V5" s="1"/>
    </row>
    <row r="6" spans="1:22" x14ac:dyDescent="0.2">
      <c r="A6" t="s">
        <v>4</v>
      </c>
      <c r="B6">
        <v>7.2043333333333335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111.1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0.92400000000000004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0.54100000000000004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11.68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1.1970000000000001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1.1970000000000001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6.7593529411764708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Please enter the one-letter code of the residue in column A"))))))))))))))))))))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Please enter the one-letter code of the residue in column A"))))))))))))))))))))</f>
        <v>0.89300000000000002</v>
      </c>
      <c r="O7" s="1"/>
      <c r="P7" s="1"/>
      <c r="T7" s="1"/>
      <c r="U7" s="1"/>
      <c r="V7" s="1"/>
    </row>
    <row r="8" spans="1:22" x14ac:dyDescent="0.2">
      <c r="A8" t="s">
        <v>6</v>
      </c>
      <c r="B8">
        <v>6.8431999999999986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168.6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-3.9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0.47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11.3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1.1719999999999999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0.72099999999999997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15.71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200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3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Please enter the one-letter code of the residue in column A"))))))))))))))))))))</f>
        <v>1.302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Please enter the one-letter code of the residue in column A"))))))))))))))))))))</f>
        <v>0.89700000000000002</v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6.9495485683162155</v>
      </c>
      <c r="C15" s="1">
        <f t="shared" si="0"/>
        <v>134.00000000000003</v>
      </c>
      <c r="D15" s="1">
        <f t="shared" si="0"/>
        <v>-2.8999999999999995</v>
      </c>
      <c r="E15" s="1">
        <f t="shared" si="0"/>
        <v>0.47428571428571431</v>
      </c>
      <c r="F15" s="1">
        <f t="shared" si="0"/>
        <v>11.042857142857143</v>
      </c>
      <c r="G15" s="1">
        <f t="shared" si="0"/>
        <v>1.1784285714285716</v>
      </c>
      <c r="H15" s="1">
        <f t="shared" si="0"/>
        <v>0.70028571428571429</v>
      </c>
      <c r="I15" s="1">
        <f t="shared" si="0"/>
        <v>13.430000000000003</v>
      </c>
      <c r="J15" s="1">
        <f t="shared" si="0"/>
        <v>174.28571428571428</v>
      </c>
      <c r="K15" s="1">
        <f t="shared" si="0"/>
        <v>1.7142857142857142</v>
      </c>
      <c r="L15" s="1">
        <f t="shared" si="0"/>
        <v>1.7142857142857142</v>
      </c>
      <c r="M15" s="1">
        <f t="shared" si="0"/>
        <v>1.131</v>
      </c>
      <c r="N15" s="1">
        <f t="shared" si="0"/>
        <v>0.95514285714285718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0.18206579751954427</v>
      </c>
      <c r="C16" s="1">
        <f t="shared" si="1"/>
        <v>31.215647785472303</v>
      </c>
      <c r="D16" s="1">
        <f t="shared" si="1"/>
        <v>2.114237451186598</v>
      </c>
      <c r="E16" s="1">
        <f t="shared" si="1"/>
        <v>5.5634864026418512E-2</v>
      </c>
      <c r="F16" s="1">
        <f t="shared" si="1"/>
        <v>1.583095220190653</v>
      </c>
      <c r="G16" s="1">
        <f t="shared" si="1"/>
        <v>0.26916404981773751</v>
      </c>
      <c r="H16" s="1">
        <f t="shared" si="1"/>
        <v>0.14183759995820808</v>
      </c>
      <c r="I16" s="1">
        <f t="shared" si="1"/>
        <v>1.5351655719606461</v>
      </c>
      <c r="J16" s="1">
        <f t="shared" si="1"/>
        <v>36.10500558885748</v>
      </c>
      <c r="K16" s="1">
        <f t="shared" si="1"/>
        <v>1.8898223650461361</v>
      </c>
      <c r="L16" s="1">
        <f t="shared" si="1"/>
        <v>1.7994708216848745</v>
      </c>
      <c r="M16" s="1">
        <f t="shared" si="1"/>
        <v>0.26203307679247978</v>
      </c>
      <c r="N16" s="1">
        <f t="shared" si="1"/>
        <v>0.1661208682169194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-0.16777691756201663</v>
      </c>
      <c r="D18" s="1">
        <f t="shared" si="2"/>
        <v>-0.33059529355817446</v>
      </c>
      <c r="E18" s="1">
        <f t="shared" si="2"/>
        <v>0.45206182608646056</v>
      </c>
      <c r="F18" s="1">
        <f t="shared" si="2"/>
        <v>0.75026120468948454</v>
      </c>
      <c r="G18" s="1">
        <f t="shared" si="2"/>
        <v>-0.1357035257836636</v>
      </c>
      <c r="H18" s="1">
        <f t="shared" si="2"/>
        <v>-0.62140953350626438</v>
      </c>
      <c r="I18" s="1">
        <f t="shared" si="2"/>
        <v>-0.2056305325822072</v>
      </c>
      <c r="J18" s="1">
        <f t="shared" si="2"/>
        <v>-7.7866791424780202E-2</v>
      </c>
      <c r="K18" s="1">
        <f t="shared" si="2"/>
        <v>-0.594700167696675</v>
      </c>
      <c r="L18" s="1">
        <f t="shared" si="2"/>
        <v>0.95743713274520692</v>
      </c>
      <c r="M18" s="1">
        <f t="shared" si="2"/>
        <v>0.24324065470558476</v>
      </c>
      <c r="N18" s="1">
        <f t="shared" si="2"/>
        <v>0.27830625921534985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-28.765782681318509</v>
      </c>
      <c r="D19" s="2">
        <f t="shared" si="3"/>
        <v>-3.8390349002903124</v>
      </c>
      <c r="E19" s="2">
        <f t="shared" si="3"/>
        <v>0.13813906054021452</v>
      </c>
      <c r="F19" s="2">
        <f t="shared" si="3"/>
        <v>6.5236576183997466</v>
      </c>
      <c r="G19" s="2">
        <f t="shared" si="3"/>
        <v>-0.20062258300082805</v>
      </c>
      <c r="H19" s="2">
        <f t="shared" si="3"/>
        <v>-0.48410650448619796</v>
      </c>
      <c r="I19" s="2">
        <f t="shared" si="3"/>
        <v>-1.7338617053005492</v>
      </c>
      <c r="J19" s="2">
        <f t="shared" si="3"/>
        <v>-15.441565510272703</v>
      </c>
      <c r="K19" s="2">
        <f t="shared" si="3"/>
        <v>-6.1729204096624413</v>
      </c>
      <c r="L19" s="2">
        <f t="shared" si="3"/>
        <v>9.4629535445155835</v>
      </c>
      <c r="M19" s="2">
        <f t="shared" si="3"/>
        <v>0.350077268887801</v>
      </c>
      <c r="N19" s="2">
        <f t="shared" si="3"/>
        <v>0.25393279814729514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333.90920384945247</v>
      </c>
      <c r="D20" s="2">
        <f t="shared" si="4"/>
        <v>23.779559495028526</v>
      </c>
      <c r="E20" s="2">
        <f t="shared" si="4"/>
        <v>-0.4857183961200805</v>
      </c>
      <c r="F20" s="2">
        <f t="shared" si="4"/>
        <v>-34.293618319277989</v>
      </c>
      <c r="G20" s="2">
        <f t="shared" si="4"/>
        <v>2.5726649558938774</v>
      </c>
      <c r="H20" s="2">
        <f t="shared" si="4"/>
        <v>4.0646073794503392</v>
      </c>
      <c r="I20" s="2">
        <f t="shared" si="4"/>
        <v>25.479556131729744</v>
      </c>
      <c r="J20" s="2">
        <f t="shared" si="4"/>
        <v>281.59762377019098</v>
      </c>
      <c r="K20" s="2">
        <f t="shared" si="4"/>
        <v>44.613295909585283</v>
      </c>
      <c r="L20" s="2">
        <f t="shared" si="4"/>
        <v>-64.048969543045416</v>
      </c>
      <c r="M20" s="2">
        <f t="shared" si="4"/>
        <v>-1.3018789827992683</v>
      </c>
      <c r="N20" s="2">
        <f t="shared" si="4"/>
        <v>-0.80957545667020836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2.8149094066611733E-2</v>
      </c>
      <c r="D21" s="2">
        <f t="shared" si="5"/>
        <v>0.10929324812281548</v>
      </c>
      <c r="E21" s="2">
        <f t="shared" si="5"/>
        <v>0.20435989460462523</v>
      </c>
      <c r="F21" s="2">
        <f t="shared" si="5"/>
        <v>0.56289187526211648</v>
      </c>
      <c r="G21" s="2">
        <f t="shared" si="5"/>
        <v>1.8415446910117459E-2</v>
      </c>
      <c r="H21" s="2">
        <f t="shared" si="5"/>
        <v>0.38614980833247309</v>
      </c>
      <c r="I21" s="2">
        <f t="shared" si="5"/>
        <v>4.2283915930042167E-2</v>
      </c>
      <c r="J21" s="2">
        <f t="shared" si="5"/>
        <v>6.0632372067902238E-3</v>
      </c>
      <c r="K21" s="2">
        <f t="shared" si="5"/>
        <v>0.35366828945845336</v>
      </c>
      <c r="L21" s="2">
        <f t="shared" si="5"/>
        <v>0.91668586315936273</v>
      </c>
      <c r="M21" s="2">
        <f t="shared" si="5"/>
        <v>5.91660161016015E-2</v>
      </c>
      <c r="N21" s="2">
        <f t="shared" si="5"/>
        <v>7.7454373918441469E-2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7</v>
      </c>
      <c r="D22">
        <f t="shared" ref="D22:N22" si="6">COUNT($B2:$B13)</f>
        <v>7</v>
      </c>
      <c r="E22">
        <f t="shared" si="6"/>
        <v>7</v>
      </c>
      <c r="F22">
        <f t="shared" si="6"/>
        <v>7</v>
      </c>
      <c r="G22">
        <f t="shared" si="6"/>
        <v>7</v>
      </c>
      <c r="H22">
        <f t="shared" si="6"/>
        <v>7</v>
      </c>
      <c r="I22">
        <f t="shared" si="6"/>
        <v>7</v>
      </c>
      <c r="J22">
        <f t="shared" si="6"/>
        <v>7</v>
      </c>
      <c r="K22">
        <f t="shared" si="6"/>
        <v>7</v>
      </c>
      <c r="L22">
        <f t="shared" si="6"/>
        <v>7</v>
      </c>
      <c r="M22">
        <f t="shared" si="6"/>
        <v>7</v>
      </c>
      <c r="N22">
        <f t="shared" si="6"/>
        <v>7</v>
      </c>
    </row>
    <row r="23" spans="1:22" x14ac:dyDescent="0.2">
      <c r="A23" t="s">
        <v>34</v>
      </c>
      <c r="C23">
        <f t="shared" ref="C23:N23" si="7">C22-2</f>
        <v>5</v>
      </c>
      <c r="D23">
        <f t="shared" si="7"/>
        <v>5</v>
      </c>
      <c r="E23">
        <f t="shared" si="7"/>
        <v>5</v>
      </c>
      <c r="F23">
        <f t="shared" si="7"/>
        <v>5</v>
      </c>
      <c r="G23">
        <f t="shared" si="7"/>
        <v>5</v>
      </c>
      <c r="H23">
        <f t="shared" si="7"/>
        <v>5</v>
      </c>
      <c r="I23">
        <f t="shared" si="7"/>
        <v>5</v>
      </c>
      <c r="J23">
        <f t="shared" si="7"/>
        <v>5</v>
      </c>
      <c r="K23">
        <f t="shared" si="7"/>
        <v>5</v>
      </c>
      <c r="L23">
        <f t="shared" si="7"/>
        <v>5</v>
      </c>
      <c r="M23">
        <f t="shared" si="7"/>
        <v>5</v>
      </c>
      <c r="N23">
        <f t="shared" si="7"/>
        <v>5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-0.38055496410606415</v>
      </c>
      <c r="D24" s="2">
        <f t="shared" si="8"/>
        <v>-0.78327505632336047</v>
      </c>
      <c r="E24" s="2">
        <f t="shared" si="8"/>
        <v>1.1332468069491195</v>
      </c>
      <c r="F24" s="2">
        <f t="shared" si="8"/>
        <v>2.5374824822123521</v>
      </c>
      <c r="G24" s="2">
        <f t="shared" si="8"/>
        <v>-0.30627551295555056</v>
      </c>
      <c r="H24" s="2">
        <f t="shared" si="8"/>
        <v>-1.7735021368611841</v>
      </c>
      <c r="I24" s="2">
        <f t="shared" si="8"/>
        <v>-0.4698445698716357</v>
      </c>
      <c r="J24" s="2">
        <f t="shared" si="8"/>
        <v>-0.17464570297919646</v>
      </c>
      <c r="K24" s="2">
        <f t="shared" si="8"/>
        <v>-1.6540755083445946</v>
      </c>
      <c r="L24" s="2">
        <f t="shared" si="8"/>
        <v>7.4171304868770429</v>
      </c>
      <c r="M24" s="2">
        <f t="shared" si="8"/>
        <v>0.5607440419187365</v>
      </c>
      <c r="N24" s="2">
        <f t="shared" si="8"/>
        <v>0.64790905413806066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0.71916488482300589</v>
      </c>
      <c r="D25" s="2">
        <f t="shared" si="9"/>
        <v>0.4689240931148369</v>
      </c>
      <c r="E25" s="2">
        <f t="shared" si="9"/>
        <v>0.30850729824180506</v>
      </c>
      <c r="F25" s="2">
        <f t="shared" si="9"/>
        <v>5.2053165886886119E-2</v>
      </c>
      <c r="G25" s="2">
        <f t="shared" si="9"/>
        <v>0.77173791894378285</v>
      </c>
      <c r="H25" s="2">
        <f t="shared" si="9"/>
        <v>0.13633118507866782</v>
      </c>
      <c r="I25" s="2">
        <f t="shared" si="9"/>
        <v>0.65824414604866521</v>
      </c>
      <c r="J25" s="2">
        <f t="shared" si="9"/>
        <v>0.86820961650652362</v>
      </c>
      <c r="K25" s="2">
        <f t="shared" si="9"/>
        <v>0.15901814300376232</v>
      </c>
      <c r="L25" s="2">
        <f t="shared" si="9"/>
        <v>7.0154552914882982E-4</v>
      </c>
      <c r="M25" s="2">
        <f t="shared" si="9"/>
        <v>0.59916859979030368</v>
      </c>
      <c r="N25" s="2">
        <f t="shared" si="9"/>
        <v>0.54561536567201285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0.44498039215686269</v>
      </c>
    </row>
  </sheetData>
  <conditionalFormatting sqref="C25:N25">
    <cfRule type="cellIs" dxfId="27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A81A-06FF-2C44-B5B1-2DD2DB260DB6}">
  <dimension ref="A1:V64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60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f>E418_act!B2</f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6.1125333333333325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14</v>
      </c>
      <c r="B4">
        <v>6.2036874999999991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114.1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11.6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0.77200000000000002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0.60399999999999998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12.82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160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1.5720000000000001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1.167</v>
      </c>
      <c r="O4" s="1"/>
      <c r="P4" s="1"/>
      <c r="T4" s="1"/>
      <c r="U4" s="1"/>
      <c r="V4" s="1"/>
    </row>
    <row r="5" spans="1:22" x14ac:dyDescent="0.2">
      <c r="A5" t="s">
        <v>1</v>
      </c>
      <c r="B5">
        <v>6.1959090909090913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88.6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8.1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1.4890000000000001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0.70899999999999996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115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0.78800000000000003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0.82399999999999995</v>
      </c>
      <c r="O5" s="1"/>
      <c r="P5" s="1"/>
      <c r="T5" s="1"/>
      <c r="U5" s="1"/>
      <c r="V5" s="1"/>
    </row>
    <row r="6" spans="1:22" x14ac:dyDescent="0.2">
      <c r="A6" t="s">
        <v>4</v>
      </c>
      <c r="B6">
        <v>6.4047000000000001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111.1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0.92400000000000004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0.54100000000000004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11.68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1.1970000000000001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1.1970000000000001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5.9634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Please enter the one-letter code of the residue in column A"))))))))))))))))))))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Please enter the one-letter code of the residue in column A"))))))))))))))))))))</f>
        <v>0.89300000000000002</v>
      </c>
      <c r="O7" s="1"/>
      <c r="P7" s="1"/>
      <c r="T7" s="1"/>
      <c r="U7" s="1"/>
      <c r="V7" s="1"/>
    </row>
    <row r="8" spans="1:22" x14ac:dyDescent="0.2">
      <c r="A8" t="s">
        <v>6</v>
      </c>
      <c r="B8">
        <v>6.0820000000000007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168.6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-3.9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0.47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11.3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1.1719999999999999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0.72099999999999997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15.71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200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3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Please enter the one-letter code of the residue in column A"))))))))))))))))))))</f>
        <v>1.302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Please enter the one-letter code of the residue in column A"))))))))))))))))))))</f>
        <v>0.89700000000000002</v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6.2097419182702938</v>
      </c>
      <c r="C15" s="1">
        <f t="shared" si="0"/>
        <v>134.00000000000003</v>
      </c>
      <c r="D15" s="1">
        <f t="shared" si="0"/>
        <v>-2.8999999999999995</v>
      </c>
      <c r="E15" s="1">
        <f t="shared" si="0"/>
        <v>0.47428571428571431</v>
      </c>
      <c r="F15" s="1">
        <f t="shared" si="0"/>
        <v>11.042857142857143</v>
      </c>
      <c r="G15" s="1">
        <f t="shared" si="0"/>
        <v>1.1784285714285716</v>
      </c>
      <c r="H15" s="1">
        <f t="shared" si="0"/>
        <v>0.70028571428571429</v>
      </c>
      <c r="I15" s="1">
        <f t="shared" si="0"/>
        <v>13.430000000000003</v>
      </c>
      <c r="J15" s="1">
        <f t="shared" si="0"/>
        <v>174.28571428571428</v>
      </c>
      <c r="K15" s="1">
        <f t="shared" si="0"/>
        <v>1.7142857142857142</v>
      </c>
      <c r="L15" s="1">
        <f t="shared" si="0"/>
        <v>1.7142857142857142</v>
      </c>
      <c r="M15" s="1">
        <f t="shared" si="0"/>
        <v>1.131</v>
      </c>
      <c r="N15" s="1">
        <f t="shared" si="0"/>
        <v>0.95514285714285718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0.1881647025594344</v>
      </c>
      <c r="C16" s="1">
        <f t="shared" si="1"/>
        <v>31.215647785472303</v>
      </c>
      <c r="D16" s="1">
        <f t="shared" si="1"/>
        <v>2.114237451186598</v>
      </c>
      <c r="E16" s="1">
        <f t="shared" si="1"/>
        <v>5.5634864026418512E-2</v>
      </c>
      <c r="F16" s="1">
        <f t="shared" si="1"/>
        <v>1.583095220190653</v>
      </c>
      <c r="G16" s="1">
        <f t="shared" si="1"/>
        <v>0.26916404981773751</v>
      </c>
      <c r="H16" s="1">
        <f t="shared" si="1"/>
        <v>0.14183759995820808</v>
      </c>
      <c r="I16" s="1">
        <f t="shared" si="1"/>
        <v>1.5351655719606461</v>
      </c>
      <c r="J16" s="1">
        <f t="shared" si="1"/>
        <v>36.10500558885748</v>
      </c>
      <c r="K16" s="1">
        <f t="shared" si="1"/>
        <v>1.8898223650461361</v>
      </c>
      <c r="L16" s="1">
        <f t="shared" si="1"/>
        <v>1.7994708216848745</v>
      </c>
      <c r="M16" s="1">
        <f t="shared" si="1"/>
        <v>0.26203307679247978</v>
      </c>
      <c r="N16" s="1">
        <f t="shared" si="1"/>
        <v>0.1661208682169194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-0.49631147538589737</v>
      </c>
      <c r="D18" s="1">
        <f t="shared" si="2"/>
        <v>9.3134943202763346E-2</v>
      </c>
      <c r="E18" s="1">
        <f t="shared" si="2"/>
        <v>2.4556791465509216E-2</v>
      </c>
      <c r="F18" s="1">
        <f t="shared" si="2"/>
        <v>0.52869783720709318</v>
      </c>
      <c r="G18" s="1">
        <f t="shared" si="2"/>
        <v>0.11846864508258029</v>
      </c>
      <c r="H18" s="1">
        <f t="shared" si="2"/>
        <v>-0.87693417276036079</v>
      </c>
      <c r="I18" s="1">
        <f t="shared" si="2"/>
        <v>-0.50145288122587606</v>
      </c>
      <c r="J18" s="1">
        <f t="shared" si="2"/>
        <v>-0.380415123791081</v>
      </c>
      <c r="K18" s="1">
        <f t="shared" si="2"/>
        <v>-0.85370842601958086</v>
      </c>
      <c r="L18" s="1">
        <f t="shared" si="2"/>
        <v>0.8654305970427173</v>
      </c>
      <c r="M18" s="1">
        <f t="shared" si="2"/>
        <v>0.22108760775695888</v>
      </c>
      <c r="N18" s="1">
        <f t="shared" si="2"/>
        <v>7.3054866406601165E-2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-82.335762216830958</v>
      </c>
      <c r="D19" s="2">
        <f t="shared" si="3"/>
        <v>1.0464735535147585</v>
      </c>
      <c r="E19" s="2">
        <f t="shared" si="3"/>
        <v>7.2607334719283316E-3</v>
      </c>
      <c r="F19" s="2">
        <f t="shared" si="3"/>
        <v>4.4481191616866136</v>
      </c>
      <c r="G19" s="2">
        <f t="shared" si="3"/>
        <v>0.16946589797720138</v>
      </c>
      <c r="H19" s="2">
        <f t="shared" si="3"/>
        <v>-0.66102853879504131</v>
      </c>
      <c r="I19" s="2">
        <f t="shared" si="3"/>
        <v>-4.091166880649638</v>
      </c>
      <c r="J19" s="2">
        <f t="shared" si="3"/>
        <v>-72.993978061451386</v>
      </c>
      <c r="K19" s="2">
        <f t="shared" si="3"/>
        <v>-8.5741759999356812</v>
      </c>
      <c r="L19" s="2">
        <f t="shared" si="3"/>
        <v>8.276350911668942</v>
      </c>
      <c r="M19" s="2">
        <f t="shared" si="3"/>
        <v>0.30788062433200525</v>
      </c>
      <c r="N19" s="2">
        <f t="shared" si="3"/>
        <v>6.4496357020532524E-2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645.28383401059068</v>
      </c>
      <c r="D20" s="2">
        <f t="shared" si="4"/>
        <v>-9.398330691621867</v>
      </c>
      <c r="E20" s="2">
        <f t="shared" si="4"/>
        <v>0.42919843328769275</v>
      </c>
      <c r="F20" s="2">
        <f t="shared" si="4"/>
        <v>-16.578814872929541</v>
      </c>
      <c r="G20" s="2">
        <f t="shared" si="4"/>
        <v>0.12608908104222727</v>
      </c>
      <c r="H20" s="2">
        <f t="shared" si="4"/>
        <v>4.8051023408142433</v>
      </c>
      <c r="I20" s="2">
        <f t="shared" si="4"/>
        <v>38.835090473409181</v>
      </c>
      <c r="J20" s="2">
        <f t="shared" si="4"/>
        <v>627.55947963521112</v>
      </c>
      <c r="K20" s="2">
        <f t="shared" si="4"/>
        <v>54.957705835713426</v>
      </c>
      <c r="L20" s="2">
        <f t="shared" si="4"/>
        <v>-49.679717472219473</v>
      </c>
      <c r="M20" s="2">
        <f t="shared" si="4"/>
        <v>-0.78085921873768194</v>
      </c>
      <c r="N20" s="2">
        <f t="shared" si="4"/>
        <v>0.55463712537672982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0.24632508059972616</v>
      </c>
      <c r="D21" s="2">
        <f t="shared" si="5"/>
        <v>8.6741176453819548E-3</v>
      </c>
      <c r="E21" s="2">
        <f t="shared" si="5"/>
        <v>6.0303600708050626E-4</v>
      </c>
      <c r="F21" s="2">
        <f t="shared" si="5"/>
        <v>0.27952140306745787</v>
      </c>
      <c r="G21" s="2">
        <f t="shared" si="5"/>
        <v>1.4034819867702377E-2</v>
      </c>
      <c r="H21" s="2">
        <f t="shared" si="5"/>
        <v>0.76901354335489847</v>
      </c>
      <c r="I21" s="2">
        <f t="shared" si="5"/>
        <v>0.25145499208973254</v>
      </c>
      <c r="J21" s="2">
        <f t="shared" si="5"/>
        <v>0.1447156664089834</v>
      </c>
      <c r="K21" s="2">
        <f t="shared" si="5"/>
        <v>0.72881807665683018</v>
      </c>
      <c r="L21" s="2">
        <f t="shared" si="5"/>
        <v>0.74897011829771432</v>
      </c>
      <c r="M21" s="2">
        <f t="shared" si="5"/>
        <v>4.8879730303694892E-2</v>
      </c>
      <c r="N21" s="2">
        <f t="shared" si="5"/>
        <v>5.3370135056863416E-3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7</v>
      </c>
      <c r="D22">
        <f t="shared" ref="D22:N22" si="6">COUNT($B2:$B13)</f>
        <v>7</v>
      </c>
      <c r="E22">
        <f t="shared" si="6"/>
        <v>7</v>
      </c>
      <c r="F22">
        <f t="shared" si="6"/>
        <v>7</v>
      </c>
      <c r="G22">
        <f t="shared" si="6"/>
        <v>7</v>
      </c>
      <c r="H22">
        <f t="shared" si="6"/>
        <v>7</v>
      </c>
      <c r="I22">
        <f t="shared" si="6"/>
        <v>7</v>
      </c>
      <c r="J22">
        <f t="shared" si="6"/>
        <v>7</v>
      </c>
      <c r="K22">
        <f t="shared" si="6"/>
        <v>7</v>
      </c>
      <c r="L22">
        <f t="shared" si="6"/>
        <v>7</v>
      </c>
      <c r="M22">
        <f t="shared" si="6"/>
        <v>7</v>
      </c>
      <c r="N22">
        <f t="shared" si="6"/>
        <v>7</v>
      </c>
    </row>
    <row r="23" spans="1:22" x14ac:dyDescent="0.2">
      <c r="A23" t="s">
        <v>34</v>
      </c>
      <c r="C23">
        <f t="shared" ref="C23:N23" si="7">C22-2</f>
        <v>5</v>
      </c>
      <c r="D23">
        <f t="shared" si="7"/>
        <v>5</v>
      </c>
      <c r="E23">
        <f t="shared" si="7"/>
        <v>5</v>
      </c>
      <c r="F23">
        <f t="shared" si="7"/>
        <v>5</v>
      </c>
      <c r="G23">
        <f t="shared" si="7"/>
        <v>5</v>
      </c>
      <c r="H23">
        <f t="shared" si="7"/>
        <v>5</v>
      </c>
      <c r="I23">
        <f t="shared" si="7"/>
        <v>5</v>
      </c>
      <c r="J23">
        <f t="shared" si="7"/>
        <v>5</v>
      </c>
      <c r="K23">
        <f t="shared" si="7"/>
        <v>5</v>
      </c>
      <c r="L23">
        <f t="shared" si="7"/>
        <v>5</v>
      </c>
      <c r="M23">
        <f t="shared" si="7"/>
        <v>5</v>
      </c>
      <c r="N23">
        <f t="shared" si="7"/>
        <v>5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-1.2783426753561364</v>
      </c>
      <c r="D24" s="2">
        <f t="shared" si="8"/>
        <v>0.20916520165061667</v>
      </c>
      <c r="E24" s="2">
        <f t="shared" si="8"/>
        <v>5.4927219069154209E-2</v>
      </c>
      <c r="F24" s="2">
        <f t="shared" si="8"/>
        <v>1.3927783075031535</v>
      </c>
      <c r="G24" s="2">
        <f t="shared" si="8"/>
        <v>0.26678268228443364</v>
      </c>
      <c r="H24" s="2">
        <f t="shared" si="8"/>
        <v>-4.0799866115760883</v>
      </c>
      <c r="I24" s="2">
        <f t="shared" si="8"/>
        <v>-1.296003498780028</v>
      </c>
      <c r="J24" s="2">
        <f t="shared" si="8"/>
        <v>-0.91978753155443826</v>
      </c>
      <c r="K24" s="2">
        <f t="shared" si="8"/>
        <v>-3.6657614667275764</v>
      </c>
      <c r="L24" s="2">
        <f t="shared" si="8"/>
        <v>3.8623758855615549</v>
      </c>
      <c r="M24" s="2">
        <f t="shared" si="8"/>
        <v>0.50691096326674079</v>
      </c>
      <c r="N24" s="2">
        <f t="shared" si="8"/>
        <v>0.16379331568295505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0.25725215272911922</v>
      </c>
      <c r="D25" s="2">
        <f t="shared" si="9"/>
        <v>0.84257405240793248</v>
      </c>
      <c r="E25" s="2">
        <f t="shared" si="9"/>
        <v>0.95832366483706111</v>
      </c>
      <c r="F25" s="2">
        <f t="shared" si="9"/>
        <v>0.22244551306016447</v>
      </c>
      <c r="G25" s="2">
        <f t="shared" si="9"/>
        <v>0.80028973733005748</v>
      </c>
      <c r="H25" s="2">
        <f t="shared" si="9"/>
        <v>9.5399821847963369E-3</v>
      </c>
      <c r="I25" s="2">
        <f t="shared" si="9"/>
        <v>0.25157029335905956</v>
      </c>
      <c r="J25" s="2">
        <f t="shared" si="9"/>
        <v>0.39988420432636068</v>
      </c>
      <c r="K25" s="2">
        <f t="shared" si="9"/>
        <v>1.4507373270103287E-2</v>
      </c>
      <c r="L25" s="2">
        <f t="shared" si="9"/>
        <v>1.1851423208024018E-2</v>
      </c>
      <c r="M25" s="2">
        <f t="shared" si="9"/>
        <v>0.63377538081059503</v>
      </c>
      <c r="N25" s="2">
        <f t="shared" si="9"/>
        <v>0.87630889475313045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0.54256350364963524</v>
      </c>
    </row>
    <row r="44" spans="3:3" x14ac:dyDescent="0.2">
      <c r="C44" t="s">
        <v>74</v>
      </c>
    </row>
    <row r="62" spans="3:3" x14ac:dyDescent="0.2">
      <c r="C62" t="s">
        <v>75</v>
      </c>
    </row>
    <row r="63" spans="3:3" x14ac:dyDescent="0.2">
      <c r="C63" t="s">
        <v>77</v>
      </c>
    </row>
    <row r="64" spans="3:3" x14ac:dyDescent="0.2">
      <c r="C64" t="s">
        <v>76</v>
      </c>
    </row>
  </sheetData>
  <conditionalFormatting sqref="C25:N25">
    <cfRule type="cellIs" dxfId="26" priority="1" operator="lessThan">
      <formula>0.05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7269-54C9-EF4C-A661-E5A481C8E628}">
  <dimension ref="A1:V55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73</v>
      </c>
      <c r="B1" t="s">
        <v>57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f>E418_des!B2</f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0</v>
      </c>
      <c r="B3">
        <v>7.0501428571428573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17</v>
      </c>
      <c r="B4">
        <v>7.1139999999999999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162.9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1.9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5.7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1.363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1.21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16.25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185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0.436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0.81</v>
      </c>
      <c r="O4" s="1"/>
      <c r="P4" s="1"/>
      <c r="T4" s="1"/>
      <c r="U4" s="1"/>
      <c r="V4" s="1"/>
    </row>
    <row r="5" spans="1:22" x14ac:dyDescent="0.2">
      <c r="A5" t="s">
        <v>20</v>
      </c>
      <c r="B5">
        <v>7.117857142857142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173.4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-4.5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0.53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1.224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0.92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14.28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225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5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0.91200000000000003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0.89300000000000002</v>
      </c>
      <c r="O5" s="1"/>
      <c r="P5" s="1"/>
      <c r="T5" s="1"/>
      <c r="U5" s="1"/>
      <c r="V5" s="1"/>
    </row>
    <row r="6" spans="1:22" x14ac:dyDescent="0.2">
      <c r="A6" t="s">
        <v>16</v>
      </c>
      <c r="B6">
        <v>7.0825714285714279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153.19999999999999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-3.2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0.32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10.4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1.0029999999999999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0.86299999999999999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13.69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195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2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2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0.97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1.0680000000000001</v>
      </c>
      <c r="O6" s="1"/>
      <c r="P6" s="1"/>
      <c r="T6" s="1"/>
      <c r="U6" s="1"/>
      <c r="V6" s="1"/>
    </row>
    <row r="7" spans="1:22" x14ac:dyDescent="0.2">
      <c r="O7" s="1"/>
      <c r="P7" s="1"/>
      <c r="T7" s="1"/>
      <c r="U7" s="1"/>
      <c r="V7" s="1"/>
    </row>
    <row r="8" spans="1:22" x14ac:dyDescent="0.2">
      <c r="N8" s="1"/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7.1038550264550269</v>
      </c>
      <c r="C15" s="1">
        <f t="shared" si="0"/>
        <v>160.37999999999997</v>
      </c>
      <c r="D15" s="1">
        <f t="shared" si="0"/>
        <v>-2.6399999999999997</v>
      </c>
      <c r="E15" s="1">
        <f t="shared" si="0"/>
        <v>0.42199999999999999</v>
      </c>
      <c r="F15" s="1">
        <f t="shared" si="0"/>
        <v>9.68</v>
      </c>
      <c r="G15" s="1">
        <f t="shared" si="0"/>
        <v>1.1852</v>
      </c>
      <c r="H15" s="1">
        <f t="shared" si="0"/>
        <v>0.91080000000000005</v>
      </c>
      <c r="I15" s="1">
        <f t="shared" si="0"/>
        <v>14.875999999999999</v>
      </c>
      <c r="J15" s="1">
        <f t="shared" si="0"/>
        <v>197</v>
      </c>
      <c r="K15" s="1">
        <f t="shared" si="0"/>
        <v>2.4</v>
      </c>
      <c r="L15" s="1">
        <f t="shared" si="0"/>
        <v>0.8</v>
      </c>
      <c r="M15" s="1">
        <f t="shared" si="0"/>
        <v>0.9234</v>
      </c>
      <c r="N15" s="1">
        <f t="shared" si="0"/>
        <v>0.92300000000000004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3.9441590995410454E-2</v>
      </c>
      <c r="C16" s="1">
        <f t="shared" si="1"/>
        <v>11.936163537753661</v>
      </c>
      <c r="D16" s="1">
        <f t="shared" si="1"/>
        <v>2.5841826560829637</v>
      </c>
      <c r="E16" s="1">
        <f t="shared" si="1"/>
        <v>0.10473776778220933</v>
      </c>
      <c r="F16" s="1">
        <f t="shared" si="1"/>
        <v>2.2543291685111133</v>
      </c>
      <c r="G16" s="1">
        <f t="shared" si="1"/>
        <v>0.12936266849443084</v>
      </c>
      <c r="H16" s="1">
        <f t="shared" si="1"/>
        <v>0.18229563900433754</v>
      </c>
      <c r="I16" s="1">
        <f t="shared" si="1"/>
        <v>1.063804493316324</v>
      </c>
      <c r="J16" s="1">
        <f t="shared" si="1"/>
        <v>17.535677916750181</v>
      </c>
      <c r="K16" s="1">
        <f t="shared" si="1"/>
        <v>1.8165902124584949</v>
      </c>
      <c r="L16" s="1">
        <f t="shared" si="1"/>
        <v>1.0954451150103321</v>
      </c>
      <c r="M16" s="1">
        <f t="shared" si="1"/>
        <v>0.31169504327146402</v>
      </c>
      <c r="N16" s="1">
        <f t="shared" si="1"/>
        <v>9.4797151855949779E-2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0.88640579271356912</v>
      </c>
      <c r="D18" s="1">
        <f t="shared" si="2"/>
        <v>3.447704294184889E-2</v>
      </c>
      <c r="E18" s="1">
        <f t="shared" si="2"/>
        <v>7.4665368589748191E-2</v>
      </c>
      <c r="F18" s="1">
        <f t="shared" si="2"/>
        <v>-1.6556868540141538E-2</v>
      </c>
      <c r="G18" s="1">
        <f t="shared" si="2"/>
        <v>0.3279141491938104</v>
      </c>
      <c r="H18" s="1">
        <f t="shared" si="2"/>
        <v>-5.7951976982655681E-2</v>
      </c>
      <c r="I18" s="1">
        <f t="shared" si="2"/>
        <v>0.57274617253498261</v>
      </c>
      <c r="J18" s="1">
        <f t="shared" si="2"/>
        <v>0.49829014232505886</v>
      </c>
      <c r="K18" s="1">
        <f t="shared" si="2"/>
        <v>0.25319567802097503</v>
      </c>
      <c r="L18" s="1">
        <f t="shared" si="2"/>
        <v>-0.86788405280330128</v>
      </c>
      <c r="M18" s="1">
        <f t="shared" si="2"/>
        <v>0.1871275005474648</v>
      </c>
      <c r="N18" s="1">
        <f t="shared" si="2"/>
        <v>-0.48567939620669959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268.25197046114312</v>
      </c>
      <c r="D19" s="2">
        <f t="shared" si="3"/>
        <v>2.2589092923183753</v>
      </c>
      <c r="E19" s="2">
        <f t="shared" si="3"/>
        <v>0.19827506546670756</v>
      </c>
      <c r="F19" s="2">
        <f t="shared" si="3"/>
        <v>-0.9463267263632511</v>
      </c>
      <c r="G19" s="2">
        <f t="shared" si="3"/>
        <v>1.0755106045729326</v>
      </c>
      <c r="H19" s="2">
        <f t="shared" si="3"/>
        <v>-0.26784904992415803</v>
      </c>
      <c r="I19" s="2">
        <f t="shared" si="3"/>
        <v>15.447905028560841</v>
      </c>
      <c r="J19" s="2">
        <f t="shared" si="3"/>
        <v>221.53912213938338</v>
      </c>
      <c r="K19" s="2">
        <f t="shared" si="3"/>
        <v>11.661618583875514</v>
      </c>
      <c r="L19" s="2">
        <f t="shared" si="3"/>
        <v>-24.104487725897627</v>
      </c>
      <c r="M19" s="2">
        <f t="shared" si="3"/>
        <v>1.4788124137084147</v>
      </c>
      <c r="N19" s="2">
        <f t="shared" si="3"/>
        <v>-1.1673216600433276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-1745.243108716857</v>
      </c>
      <c r="D20" s="2">
        <f t="shared" si="4"/>
        <v>-18.68696413054186</v>
      </c>
      <c r="E20" s="2">
        <f t="shared" si="4"/>
        <v>-0.98651732043637019</v>
      </c>
      <c r="F20" s="2">
        <f t="shared" si="4"/>
        <v>16.40256787174431</v>
      </c>
      <c r="G20" s="2">
        <f t="shared" si="4"/>
        <v>-6.4550714143011119</v>
      </c>
      <c r="H20" s="2">
        <f t="shared" si="4"/>
        <v>2.8135608196349335</v>
      </c>
      <c r="I20" s="2">
        <f t="shared" si="4"/>
        <v>-94.863677785341807</v>
      </c>
      <c r="J20" s="2">
        <f t="shared" si="4"/>
        <v>-1376.7818063662928</v>
      </c>
      <c r="K20" s="2">
        <f t="shared" si="4"/>
        <v>-80.442447793665423</v>
      </c>
      <c r="L20" s="2">
        <f t="shared" si="4"/>
        <v>172.03478629174137</v>
      </c>
      <c r="M20" s="2">
        <f t="shared" si="4"/>
        <v>-9.5818689983066108</v>
      </c>
      <c r="N20" s="2">
        <f t="shared" si="4"/>
        <v>9.2154838421886183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0.78571522935617089</v>
      </c>
      <c r="D21" s="2">
        <f t="shared" si="5"/>
        <v>1.1886664900140924E-3</v>
      </c>
      <c r="E21" s="2">
        <f t="shared" si="5"/>
        <v>5.5749172666429555E-3</v>
      </c>
      <c r="F21" s="2">
        <f t="shared" si="5"/>
        <v>2.7412989585552872E-4</v>
      </c>
      <c r="G21" s="2">
        <f t="shared" si="5"/>
        <v>0.10752768924150055</v>
      </c>
      <c r="H21" s="2">
        <f t="shared" si="5"/>
        <v>3.3584316361982545E-3</v>
      </c>
      <c r="I21" s="2">
        <f t="shared" si="5"/>
        <v>0.32803817815347219</v>
      </c>
      <c r="J21" s="2">
        <f t="shared" si="5"/>
        <v>0.24829306593832748</v>
      </c>
      <c r="K21" s="2">
        <f t="shared" si="5"/>
        <v>6.4108051368501284E-2</v>
      </c>
      <c r="L21" s="2">
        <f t="shared" si="5"/>
        <v>0.75322272911028321</v>
      </c>
      <c r="M21" s="2">
        <f t="shared" si="5"/>
        <v>3.5016701461141435E-2</v>
      </c>
      <c r="N21" s="2">
        <f t="shared" si="5"/>
        <v>0.23588447589970427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3.3166340846619367</v>
      </c>
      <c r="D24" s="2">
        <f t="shared" si="8"/>
        <v>5.975151293994601E-2</v>
      </c>
      <c r="E24" s="2">
        <f t="shared" si="8"/>
        <v>0.12968621215040163</v>
      </c>
      <c r="F24" s="2">
        <f t="shared" si="8"/>
        <v>-2.8681268991856329E-2</v>
      </c>
      <c r="G24" s="2">
        <f t="shared" si="8"/>
        <v>0.60120614153078789</v>
      </c>
      <c r="H24" s="2">
        <f t="shared" si="8"/>
        <v>-0.10054474685722893</v>
      </c>
      <c r="I24" s="2">
        <f t="shared" si="8"/>
        <v>1.2101815388393375</v>
      </c>
      <c r="J24" s="2">
        <f t="shared" si="8"/>
        <v>0.99544815220408289</v>
      </c>
      <c r="K24" s="2">
        <f t="shared" si="8"/>
        <v>0.45331914390528322</v>
      </c>
      <c r="L24" s="2">
        <f t="shared" si="8"/>
        <v>-3.0260058075956735</v>
      </c>
      <c r="M24" s="2">
        <f t="shared" si="8"/>
        <v>0.32994256454092613</v>
      </c>
      <c r="N24" s="2">
        <f t="shared" si="8"/>
        <v>-0.96234500344206908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4.5167522108199312E-2</v>
      </c>
      <c r="D25" s="2">
        <f t="shared" si="9"/>
        <v>0.95611116368019999</v>
      </c>
      <c r="E25" s="2">
        <f t="shared" si="9"/>
        <v>0.90502150578668394</v>
      </c>
      <c r="F25" s="2">
        <f t="shared" si="9"/>
        <v>0.9789201034263002</v>
      </c>
      <c r="G25" s="2">
        <f t="shared" si="9"/>
        <v>0.5900946879017962</v>
      </c>
      <c r="H25" s="2">
        <f t="shared" si="9"/>
        <v>0.92625457333314354</v>
      </c>
      <c r="I25" s="2">
        <f t="shared" si="9"/>
        <v>0.31286391288163473</v>
      </c>
      <c r="J25" s="2">
        <f t="shared" si="9"/>
        <v>0.39288867979209291</v>
      </c>
      <c r="K25" s="2">
        <f t="shared" si="9"/>
        <v>0.6810996684921895</v>
      </c>
      <c r="L25" s="2">
        <f t="shared" si="9"/>
        <v>5.6489453075837234E-2</v>
      </c>
      <c r="M25" s="2">
        <f t="shared" si="9"/>
        <v>0.76313976526422733</v>
      </c>
      <c r="N25" s="2">
        <f t="shared" si="9"/>
        <v>0.40686736912566257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0.10456084656085007</v>
      </c>
    </row>
    <row r="31" spans="1:22" x14ac:dyDescent="0.2">
      <c r="J31" s="3"/>
      <c r="K31" s="3"/>
      <c r="L31" s="3"/>
    </row>
    <row r="32" spans="1:22" x14ac:dyDescent="0.2">
      <c r="G32" s="1"/>
      <c r="H32" s="1"/>
      <c r="I32" s="1"/>
    </row>
    <row r="33" spans="7:15" x14ac:dyDescent="0.2">
      <c r="G33" s="1"/>
      <c r="H33" s="1"/>
      <c r="I33" s="1"/>
      <c r="M33" s="1"/>
      <c r="N33" s="1"/>
      <c r="O33" s="1"/>
    </row>
    <row r="34" spans="7:15" x14ac:dyDescent="0.2">
      <c r="G34" s="1"/>
      <c r="H34" s="1"/>
      <c r="I34" s="1"/>
      <c r="M34" s="1"/>
      <c r="N34" s="1"/>
      <c r="O34" s="1"/>
    </row>
    <row r="35" spans="7:15" x14ac:dyDescent="0.2">
      <c r="G35" s="1"/>
      <c r="H35" s="1"/>
      <c r="I35" s="1"/>
      <c r="M35" s="1"/>
      <c r="N35" s="1"/>
      <c r="O35" s="1"/>
    </row>
    <row r="36" spans="7:15" x14ac:dyDescent="0.2">
      <c r="G36" s="1"/>
      <c r="H36" s="1"/>
      <c r="I36" s="1"/>
      <c r="M36" s="1"/>
      <c r="N36" s="1"/>
      <c r="O36" s="1"/>
    </row>
    <row r="37" spans="7:15" x14ac:dyDescent="0.2">
      <c r="G37" s="1"/>
      <c r="H37" s="1"/>
      <c r="I37" s="1"/>
      <c r="M37" s="1"/>
      <c r="N37" s="1"/>
      <c r="O37" s="1"/>
    </row>
    <row r="38" spans="7:15" x14ac:dyDescent="0.2">
      <c r="G38" s="1"/>
      <c r="H38" s="1"/>
      <c r="I38" s="1"/>
      <c r="M38" s="1"/>
      <c r="N38" s="1"/>
      <c r="O38" s="1"/>
    </row>
    <row r="39" spans="7:15" x14ac:dyDescent="0.2">
      <c r="G39" s="1"/>
      <c r="H39" s="1"/>
      <c r="I39" s="1"/>
      <c r="M39" s="1"/>
      <c r="N39" s="1"/>
      <c r="O39" s="1"/>
    </row>
    <row r="45" spans="7:15" x14ac:dyDescent="0.2">
      <c r="G45" s="1"/>
      <c r="H45" s="1"/>
      <c r="I45" s="1"/>
      <c r="J45" s="1"/>
      <c r="K45" s="1"/>
      <c r="L45" s="1"/>
      <c r="M45" s="1"/>
      <c r="N45" s="1"/>
      <c r="O45" s="1"/>
    </row>
    <row r="46" spans="7:15" x14ac:dyDescent="0.2">
      <c r="G46" s="1"/>
      <c r="H46" s="1"/>
      <c r="I46" s="1"/>
      <c r="J46" s="1"/>
      <c r="K46" s="1"/>
      <c r="L46" s="1"/>
      <c r="M46" s="1"/>
      <c r="N46" s="1"/>
      <c r="O46" s="1"/>
    </row>
    <row r="48" spans="7:15" x14ac:dyDescent="0.2">
      <c r="G48" s="1"/>
      <c r="H48" s="1"/>
      <c r="I48" s="1"/>
      <c r="J48" s="1"/>
      <c r="K48" s="1"/>
      <c r="L48" s="1"/>
      <c r="M48" s="1"/>
      <c r="N48" s="1"/>
      <c r="O48" s="1"/>
    </row>
    <row r="49" spans="7:15" x14ac:dyDescent="0.2">
      <c r="G49" s="2"/>
      <c r="H49" s="2"/>
      <c r="I49" s="2"/>
      <c r="N49" s="2"/>
      <c r="O49" s="2"/>
    </row>
    <row r="50" spans="7:15" x14ac:dyDescent="0.2">
      <c r="G50" s="2"/>
      <c r="H50" s="2"/>
      <c r="I50" s="2"/>
      <c r="N50" s="2"/>
      <c r="O50" s="2"/>
    </row>
    <row r="51" spans="7:15" x14ac:dyDescent="0.2">
      <c r="G51" s="2"/>
      <c r="H51" s="2"/>
      <c r="I51" s="2"/>
      <c r="N51" s="2"/>
      <c r="O51" s="2"/>
    </row>
    <row r="54" spans="7:15" x14ac:dyDescent="0.2">
      <c r="G54" s="2"/>
      <c r="H54" s="2"/>
      <c r="I54" s="2"/>
      <c r="N54" s="2"/>
      <c r="O54" s="2"/>
    </row>
    <row r="55" spans="7:15" x14ac:dyDescent="0.2">
      <c r="G55" s="2"/>
      <c r="H55" s="2"/>
      <c r="I55" s="2"/>
      <c r="N55" s="2"/>
      <c r="O55" s="2"/>
    </row>
  </sheetData>
  <conditionalFormatting sqref="C25:N25">
    <cfRule type="cellIs" dxfId="25" priority="1" operator="lessThan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B7B9-A133-D745-A203-D37D53B9F060}">
  <dimension ref="A1:V26"/>
  <sheetViews>
    <sheetView tabSelected="1" workbookViewId="0">
      <selection activeCell="E30" sqref="E30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73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f>E418_act!B2</f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0</v>
      </c>
      <c r="B3">
        <v>6.5036249999999995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17</v>
      </c>
      <c r="B4">
        <v>6.5812500000000007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162.9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1.9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5.7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1.363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1.21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16.25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185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0.436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0.81</v>
      </c>
      <c r="O4" s="1"/>
      <c r="P4" s="1"/>
      <c r="T4" s="1"/>
      <c r="U4" s="1"/>
      <c r="V4" s="1"/>
    </row>
    <row r="5" spans="1:22" x14ac:dyDescent="0.2">
      <c r="A5" t="s">
        <v>20</v>
      </c>
      <c r="B5">
        <v>6.6278333333333341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173.4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-4.5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0.53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1.224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0.92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14.28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225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5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0.91200000000000003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0.89300000000000002</v>
      </c>
      <c r="O5" s="1"/>
      <c r="P5" s="1"/>
      <c r="T5" s="1"/>
      <c r="U5" s="1"/>
      <c r="V5" s="1"/>
    </row>
    <row r="6" spans="1:22" x14ac:dyDescent="0.2">
      <c r="A6" t="s">
        <v>16</v>
      </c>
      <c r="B6">
        <v>6.5207142857142859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153.19999999999999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-3.2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0.32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10.4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1.0029999999999999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0.86299999999999999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13.69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195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2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2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0.97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1.0680000000000001</v>
      </c>
      <c r="O6" s="1"/>
      <c r="P6" s="1"/>
      <c r="T6" s="1"/>
      <c r="U6" s="1"/>
      <c r="V6" s="1"/>
    </row>
    <row r="7" spans="1:22" x14ac:dyDescent="0.2">
      <c r="O7" s="1"/>
      <c r="P7" s="1"/>
      <c r="T7" s="1"/>
      <c r="U7" s="1"/>
      <c r="V7" s="1"/>
    </row>
    <row r="8" spans="1:22" x14ac:dyDescent="0.2"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6.5478772245394508</v>
      </c>
      <c r="C15" s="1">
        <f t="shared" si="0"/>
        <v>160.37999999999997</v>
      </c>
      <c r="D15" s="1">
        <f t="shared" si="0"/>
        <v>-2.6399999999999997</v>
      </c>
      <c r="E15" s="1">
        <f t="shared" si="0"/>
        <v>0.42199999999999999</v>
      </c>
      <c r="F15" s="1">
        <f t="shared" si="0"/>
        <v>9.68</v>
      </c>
      <c r="G15" s="1">
        <f t="shared" si="0"/>
        <v>1.1852</v>
      </c>
      <c r="H15" s="1">
        <f t="shared" si="0"/>
        <v>0.91080000000000005</v>
      </c>
      <c r="I15" s="1">
        <f t="shared" si="0"/>
        <v>14.875999999999999</v>
      </c>
      <c r="J15" s="1">
        <f t="shared" si="0"/>
        <v>197</v>
      </c>
      <c r="K15" s="1">
        <f t="shared" si="0"/>
        <v>2.4</v>
      </c>
      <c r="L15" s="1">
        <f t="shared" si="0"/>
        <v>0.8</v>
      </c>
      <c r="M15" s="1">
        <f t="shared" si="0"/>
        <v>0.9234</v>
      </c>
      <c r="N15" s="1">
        <f t="shared" si="0"/>
        <v>0.92300000000000004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5.4679900549787504E-2</v>
      </c>
      <c r="C16" s="1">
        <f t="shared" si="1"/>
        <v>11.936163537753661</v>
      </c>
      <c r="D16" s="1">
        <f t="shared" si="1"/>
        <v>2.5841826560829637</v>
      </c>
      <c r="E16" s="1">
        <f t="shared" si="1"/>
        <v>0.10473776778220933</v>
      </c>
      <c r="F16" s="1">
        <f t="shared" si="1"/>
        <v>2.2543291685111133</v>
      </c>
      <c r="G16" s="1">
        <f t="shared" si="1"/>
        <v>0.12936266849443084</v>
      </c>
      <c r="H16" s="1">
        <f t="shared" si="1"/>
        <v>0.18229563900433754</v>
      </c>
      <c r="I16" s="1">
        <f t="shared" si="1"/>
        <v>1.063804493316324</v>
      </c>
      <c r="J16" s="1">
        <f t="shared" si="1"/>
        <v>17.535677916750181</v>
      </c>
      <c r="K16" s="1">
        <f t="shared" si="1"/>
        <v>1.8165902124584949</v>
      </c>
      <c r="L16" s="1">
        <f t="shared" si="1"/>
        <v>1.0954451150103321</v>
      </c>
      <c r="M16" s="1">
        <f t="shared" si="1"/>
        <v>0.31169504327146402</v>
      </c>
      <c r="N16" s="1">
        <f t="shared" si="1"/>
        <v>9.4797151855949779E-2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0.65474648389808376</v>
      </c>
      <c r="D18" s="1">
        <f t="shared" si="2"/>
        <v>0.19262436127540239</v>
      </c>
      <c r="E18" s="1">
        <f t="shared" si="2"/>
        <v>0.10098526898701604</v>
      </c>
      <c r="F18" s="1">
        <f t="shared" si="2"/>
        <v>-0.38738021520326188</v>
      </c>
      <c r="G18" s="1">
        <f t="shared" si="2"/>
        <v>0.54698485256940932</v>
      </c>
      <c r="H18" s="1">
        <f t="shared" si="2"/>
        <v>0.57954493012134656</v>
      </c>
      <c r="I18" s="1">
        <f t="shared" si="2"/>
        <v>6.1506431466704987E-2</v>
      </c>
      <c r="J18" s="1">
        <f t="shared" si="2"/>
        <v>0.65682134141986481</v>
      </c>
      <c r="K18" s="1">
        <f t="shared" si="2"/>
        <v>0.33023198032185064</v>
      </c>
      <c r="L18" s="1">
        <f t="shared" si="2"/>
        <v>-0.59613153903326965</v>
      </c>
      <c r="M18" s="1">
        <f t="shared" si="2"/>
        <v>-0.55107201091134972</v>
      </c>
      <c r="N18" s="1">
        <f t="shared" si="2"/>
        <v>-0.48619330231774094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142.92566425684717</v>
      </c>
      <c r="D19" s="2">
        <f t="shared" si="3"/>
        <v>9.1034645005199835</v>
      </c>
      <c r="E19" s="2">
        <f t="shared" si="3"/>
        <v>0.1934343615522017</v>
      </c>
      <c r="F19" s="2">
        <f t="shared" si="3"/>
        <v>-15.970813949116055</v>
      </c>
      <c r="G19" s="2">
        <f t="shared" si="3"/>
        <v>1.2940663652082414</v>
      </c>
      <c r="H19" s="2">
        <f t="shared" si="3"/>
        <v>1.9321270211894335</v>
      </c>
      <c r="I19" s="2">
        <f t="shared" si="3"/>
        <v>1.1966155297330288</v>
      </c>
      <c r="J19" s="2">
        <f t="shared" si="3"/>
        <v>210.64060790489702</v>
      </c>
      <c r="K19" s="2">
        <f t="shared" si="3"/>
        <v>10.971054761653027</v>
      </c>
      <c r="L19" s="2">
        <f t="shared" si="3"/>
        <v>-11.942768289108095</v>
      </c>
      <c r="M19" s="2">
        <f t="shared" si="3"/>
        <v>-3.1413080960216475</v>
      </c>
      <c r="N19" s="2">
        <f t="shared" si="3"/>
        <v>-0.84290095350840399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-775.47970178958178</v>
      </c>
      <c r="D20" s="2">
        <f t="shared" si="4"/>
        <v>-62.248367867358205</v>
      </c>
      <c r="E20" s="2">
        <f t="shared" si="4"/>
        <v>-0.84458445045099118</v>
      </c>
      <c r="F20" s="2">
        <f t="shared" si="4"/>
        <v>114.25492891477398</v>
      </c>
      <c r="G20" s="2">
        <f t="shared" si="4"/>
        <v>-7.2881876797895941</v>
      </c>
      <c r="H20" s="2">
        <f t="shared" si="4"/>
        <v>-11.740530516963544</v>
      </c>
      <c r="I20" s="2">
        <f t="shared" si="4"/>
        <v>7.0407084263308901</v>
      </c>
      <c r="J20" s="2">
        <f t="shared" si="4"/>
        <v>-1182.2488390636199</v>
      </c>
      <c r="K20" s="2">
        <f t="shared" si="4"/>
        <v>-69.437119603002941</v>
      </c>
      <c r="L20" s="2">
        <f t="shared" si="4"/>
        <v>78.999780478202879</v>
      </c>
      <c r="M20" s="2">
        <f t="shared" si="4"/>
        <v>21.492299737201531</v>
      </c>
      <c r="N20" s="2">
        <f t="shared" si="4"/>
        <v>6.4422119560202651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0.42869295817690367</v>
      </c>
      <c r="D21" s="2">
        <f t="shared" si="5"/>
        <v>3.710414455675675E-2</v>
      </c>
      <c r="E21" s="2">
        <f t="shared" si="5"/>
        <v>1.0198024552379984E-2</v>
      </c>
      <c r="F21" s="2">
        <f t="shared" si="5"/>
        <v>0.15006343113092552</v>
      </c>
      <c r="G21" s="2">
        <f t="shared" si="5"/>
        <v>0.29919242894037845</v>
      </c>
      <c r="H21" s="2">
        <f t="shared" si="5"/>
        <v>0.33587232602935657</v>
      </c>
      <c r="I21" s="2">
        <f t="shared" si="5"/>
        <v>3.7830411117684773E-3</v>
      </c>
      <c r="J21" s="2">
        <f t="shared" si="5"/>
        <v>0.43141427454459064</v>
      </c>
      <c r="K21" s="2">
        <f t="shared" si="5"/>
        <v>0.10905316082729115</v>
      </c>
      <c r="L21" s="2">
        <f t="shared" si="5"/>
        <v>0.35537281183017472</v>
      </c>
      <c r="M21" s="2">
        <f t="shared" si="5"/>
        <v>0.30368036120987885</v>
      </c>
      <c r="N21" s="2">
        <f t="shared" si="5"/>
        <v>0.2363839272186303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1.5003722174066674</v>
      </c>
      <c r="D24" s="2">
        <f t="shared" si="8"/>
        <v>0.3400025547548563</v>
      </c>
      <c r="E24" s="2">
        <f t="shared" si="8"/>
        <v>0.17581037320991499</v>
      </c>
      <c r="F24" s="2">
        <f t="shared" si="8"/>
        <v>-0.72778785797833823</v>
      </c>
      <c r="G24" s="2">
        <f t="shared" si="8"/>
        <v>1.1317135992162191</v>
      </c>
      <c r="H24" s="2">
        <f t="shared" si="8"/>
        <v>1.231748237620272</v>
      </c>
      <c r="I24" s="2">
        <f t="shared" si="8"/>
        <v>0.10673434580345521</v>
      </c>
      <c r="J24" s="2">
        <f t="shared" si="8"/>
        <v>1.5087243740387124</v>
      </c>
      <c r="K24" s="2">
        <f t="shared" si="8"/>
        <v>0.60597381845019938</v>
      </c>
      <c r="L24" s="2">
        <f t="shared" si="8"/>
        <v>-1.2860220568797727</v>
      </c>
      <c r="M24" s="2">
        <f t="shared" si="8"/>
        <v>-1.1438383651177866</v>
      </c>
      <c r="N24" s="2">
        <f t="shared" si="8"/>
        <v>-0.96367827557853369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0.23049453928273309</v>
      </c>
      <c r="D25" s="2">
        <f t="shared" si="9"/>
        <v>0.7562682760167776</v>
      </c>
      <c r="E25" s="2">
        <f t="shared" si="9"/>
        <v>0.87164043862777585</v>
      </c>
      <c r="F25" s="2">
        <f t="shared" si="9"/>
        <v>0.51940184659263167</v>
      </c>
      <c r="G25" s="2">
        <f t="shared" si="9"/>
        <v>0.34004013144559792</v>
      </c>
      <c r="H25" s="2">
        <f t="shared" si="9"/>
        <v>0.30578862143611046</v>
      </c>
      <c r="I25" s="2">
        <f t="shared" si="9"/>
        <v>0.92173698377589086</v>
      </c>
      <c r="J25" s="2">
        <f t="shared" si="9"/>
        <v>0.22850012410936693</v>
      </c>
      <c r="K25" s="2">
        <f t="shared" si="9"/>
        <v>0.58730790055805759</v>
      </c>
      <c r="L25" s="2">
        <f t="shared" si="9"/>
        <v>0.2887044831767886</v>
      </c>
      <c r="M25" s="2">
        <f t="shared" si="9"/>
        <v>0.33569067247762391</v>
      </c>
      <c r="N25" s="2">
        <f t="shared" si="9"/>
        <v>0.40629549237105722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0.12420833333333459</v>
      </c>
    </row>
  </sheetData>
  <conditionalFormatting sqref="C25:N25">
    <cfRule type="cellIs" dxfId="24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5E48-1277-0148-8C8B-D07DBCFB26EA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66</v>
      </c>
      <c r="B1" t="s">
        <v>57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f>E418_des!B2</f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0</v>
      </c>
      <c r="B3">
        <v>7.0892499999999989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17</v>
      </c>
      <c r="B4">
        <v>7.1236666666666677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162.9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1.9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5.7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1.363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1.21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16.25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185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0.436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0.81</v>
      </c>
      <c r="O4" s="1"/>
      <c r="P4" s="1"/>
      <c r="T4" s="1"/>
      <c r="U4" s="1"/>
      <c r="V4" s="1"/>
    </row>
    <row r="5" spans="1:22" x14ac:dyDescent="0.2">
      <c r="A5" t="s">
        <v>20</v>
      </c>
      <c r="B5">
        <v>7.1056249999999999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173.4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-4.5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0.53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1.224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0.92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14.28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225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5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0.91200000000000003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0.89300000000000002</v>
      </c>
      <c r="O5" s="1"/>
      <c r="P5" s="1"/>
      <c r="T5" s="1"/>
      <c r="U5" s="1"/>
      <c r="V5" s="1"/>
    </row>
    <row r="6" spans="1:22" x14ac:dyDescent="0.2">
      <c r="A6" t="s">
        <v>16</v>
      </c>
      <c r="B6">
        <v>7.0949090909090922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153.19999999999999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-3.2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0.32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10.4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1.0029999999999999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0.86299999999999999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13.69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195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2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2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0.97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1.0680000000000001</v>
      </c>
      <c r="O6" s="1"/>
      <c r="P6" s="1"/>
      <c r="T6" s="1"/>
      <c r="U6" s="1"/>
      <c r="V6" s="1"/>
    </row>
    <row r="7" spans="1:22" x14ac:dyDescent="0.2">
      <c r="M7" t="str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/>
      </c>
      <c r="N7" t="str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/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7.1136308922558937</v>
      </c>
      <c r="C15" s="1">
        <f t="shared" si="0"/>
        <v>160.37999999999997</v>
      </c>
      <c r="D15" s="1">
        <f t="shared" si="0"/>
        <v>-2.6399999999999997</v>
      </c>
      <c r="E15" s="1">
        <f t="shared" si="0"/>
        <v>0.42199999999999999</v>
      </c>
      <c r="F15" s="1">
        <f t="shared" si="0"/>
        <v>9.68</v>
      </c>
      <c r="G15" s="1">
        <f t="shared" si="0"/>
        <v>1.1852</v>
      </c>
      <c r="H15" s="1">
        <f t="shared" si="0"/>
        <v>0.91080000000000005</v>
      </c>
      <c r="I15" s="1">
        <f t="shared" si="0"/>
        <v>14.875999999999999</v>
      </c>
      <c r="J15" s="1">
        <f t="shared" si="0"/>
        <v>197</v>
      </c>
      <c r="K15" s="1">
        <f t="shared" si="0"/>
        <v>2.4</v>
      </c>
      <c r="L15" s="1">
        <f t="shared" si="0"/>
        <v>0.8</v>
      </c>
      <c r="M15" s="1">
        <f t="shared" si="0"/>
        <v>0.9234</v>
      </c>
      <c r="N15" s="1">
        <f t="shared" si="0"/>
        <v>0.92300000000000004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2.6442015202737607E-2</v>
      </c>
      <c r="C16" s="1">
        <f t="shared" si="1"/>
        <v>11.936163537753661</v>
      </c>
      <c r="D16" s="1">
        <f t="shared" si="1"/>
        <v>2.5841826560829637</v>
      </c>
      <c r="E16" s="1">
        <f t="shared" si="1"/>
        <v>0.10473776778220933</v>
      </c>
      <c r="F16" s="1">
        <f t="shared" si="1"/>
        <v>2.2543291685111133</v>
      </c>
      <c r="G16" s="1">
        <f t="shared" si="1"/>
        <v>0.12936266849443084</v>
      </c>
      <c r="H16" s="1">
        <f t="shared" si="1"/>
        <v>0.18229563900433754</v>
      </c>
      <c r="I16" s="1">
        <f t="shared" si="1"/>
        <v>1.063804493316324</v>
      </c>
      <c r="J16" s="1">
        <f t="shared" si="1"/>
        <v>17.535677916750181</v>
      </c>
      <c r="K16" s="1">
        <f t="shared" si="1"/>
        <v>1.8165902124584949</v>
      </c>
      <c r="L16" s="1">
        <f t="shared" si="1"/>
        <v>1.0954451150103321</v>
      </c>
      <c r="M16" s="1">
        <f t="shared" si="1"/>
        <v>0.31169504327146402</v>
      </c>
      <c r="N16" s="1">
        <f t="shared" si="1"/>
        <v>9.4797151855949779E-2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0.63156582815814943</v>
      </c>
      <c r="D18" s="1">
        <f t="shared" si="2"/>
        <v>0.14690773882827429</v>
      </c>
      <c r="E18" s="1">
        <f t="shared" si="2"/>
        <v>1.2115747875238062E-2</v>
      </c>
      <c r="F18" s="1">
        <f t="shared" si="2"/>
        <v>-5.6372722629873466E-2</v>
      </c>
      <c r="G18" s="1">
        <f t="shared" si="2"/>
        <v>0.35516754192305061</v>
      </c>
      <c r="H18" s="1">
        <f t="shared" si="2"/>
        <v>-0.11646150577839402</v>
      </c>
      <c r="I18" s="1">
        <f t="shared" si="2"/>
        <v>0.75905025457324948</v>
      </c>
      <c r="J18" s="1">
        <f t="shared" si="2"/>
        <v>0.12430102361525741</v>
      </c>
      <c r="K18" s="1">
        <f t="shared" si="2"/>
        <v>-1.5699269915936235E-2</v>
      </c>
      <c r="L18" s="1">
        <f t="shared" si="2"/>
        <v>-0.74402793541575452</v>
      </c>
      <c r="M18" s="1">
        <f t="shared" si="2"/>
        <v>0.24518561844627487</v>
      </c>
      <c r="N18" s="1">
        <f t="shared" si="2"/>
        <v>-0.52476494451914402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285.094496465308</v>
      </c>
      <c r="D19" s="2">
        <f t="shared" si="3"/>
        <v>14.357318374322977</v>
      </c>
      <c r="E19" s="2">
        <f t="shared" si="3"/>
        <v>4.7990910591909026E-2</v>
      </c>
      <c r="F19" s="2">
        <f t="shared" si="3"/>
        <v>-4.8060887931020089</v>
      </c>
      <c r="G19" s="2">
        <f t="shared" si="3"/>
        <v>1.7375915047888111</v>
      </c>
      <c r="H19" s="2">
        <f t="shared" si="3"/>
        <v>-0.80290493944961216</v>
      </c>
      <c r="I19" s="2">
        <f t="shared" si="3"/>
        <v>30.537803767101757</v>
      </c>
      <c r="J19" s="2">
        <f t="shared" si="3"/>
        <v>82.433305409106723</v>
      </c>
      <c r="K19" s="2">
        <f t="shared" si="3"/>
        <v>-1.0785539548846943</v>
      </c>
      <c r="L19" s="2">
        <f t="shared" si="3"/>
        <v>-30.823738698933504</v>
      </c>
      <c r="M19" s="2">
        <f t="shared" si="3"/>
        <v>2.8902162473320154</v>
      </c>
      <c r="N19" s="2">
        <f t="shared" si="3"/>
        <v>-1.881332483656919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-1867.6770172677539</v>
      </c>
      <c r="D20" s="2">
        <f t="shared" si="4"/>
        <v>-104.7726635175371</v>
      </c>
      <c r="E20" s="2">
        <f t="shared" si="4"/>
        <v>8.0610375865905359E-2</v>
      </c>
      <c r="F20" s="2">
        <f t="shared" si="4"/>
        <v>43.868741709535293</v>
      </c>
      <c r="G20" s="2">
        <f t="shared" si="4"/>
        <v>-11.175384606587091</v>
      </c>
      <c r="H20" s="2">
        <f t="shared" si="4"/>
        <v>6.622369380813609</v>
      </c>
      <c r="I20" s="2">
        <f t="shared" si="4"/>
        <v>-202.35866425930345</v>
      </c>
      <c r="J20" s="2">
        <f t="shared" si="4"/>
        <v>-389.40010790898646</v>
      </c>
      <c r="K20" s="2">
        <f t="shared" si="4"/>
        <v>10.07243473243253</v>
      </c>
      <c r="L20" s="2">
        <f t="shared" si="4"/>
        <v>220.06869982355687</v>
      </c>
      <c r="M20" s="2">
        <f t="shared" si="4"/>
        <v>-19.636531582320924</v>
      </c>
      <c r="N20" s="2">
        <f t="shared" si="4"/>
        <v>14.306104874346365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0.39887539529708915</v>
      </c>
      <c r="D21" s="2">
        <f t="shared" si="5"/>
        <v>2.1581883727636451E-2</v>
      </c>
      <c r="E21" s="2">
        <f t="shared" si="5"/>
        <v>1.4679134657633562E-4</v>
      </c>
      <c r="F21" s="2">
        <f t="shared" si="5"/>
        <v>3.177883856704648E-3</v>
      </c>
      <c r="G21" s="2">
        <f t="shared" si="5"/>
        <v>0.12614398283566192</v>
      </c>
      <c r="H21" s="2">
        <f t="shared" si="5"/>
        <v>1.3563282328170905E-2</v>
      </c>
      <c r="I21" s="2">
        <f t="shared" si="5"/>
        <v>0.57615728896771501</v>
      </c>
      <c r="J21" s="2">
        <f t="shared" si="5"/>
        <v>1.5450744471800785E-2</v>
      </c>
      <c r="K21" s="2">
        <f t="shared" si="5"/>
        <v>2.464670758934204E-4</v>
      </c>
      <c r="L21" s="2">
        <f t="shared" si="5"/>
        <v>0.55357756867903019</v>
      </c>
      <c r="M21" s="2">
        <f t="shared" si="5"/>
        <v>6.01159874928823E-2</v>
      </c>
      <c r="N21" s="2">
        <f t="shared" si="5"/>
        <v>0.2753782469961803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1.4109024867275157</v>
      </c>
      <c r="D24" s="2">
        <f t="shared" si="8"/>
        <v>0.25724269976499914</v>
      </c>
      <c r="E24" s="2">
        <f t="shared" si="8"/>
        <v>2.0986631276070401E-2</v>
      </c>
      <c r="F24" s="2">
        <f t="shared" si="8"/>
        <v>-9.7795935469252207E-2</v>
      </c>
      <c r="G24" s="2">
        <f t="shared" si="8"/>
        <v>0.6580728240489272</v>
      </c>
      <c r="H24" s="2">
        <f t="shared" si="8"/>
        <v>-0.20309929394493947</v>
      </c>
      <c r="I24" s="2">
        <f t="shared" si="8"/>
        <v>2.019429974352458</v>
      </c>
      <c r="J24" s="2">
        <f t="shared" si="8"/>
        <v>0.21697845294540502</v>
      </c>
      <c r="K24" s="2">
        <f t="shared" si="8"/>
        <v>-2.7195284713815999E-2</v>
      </c>
      <c r="L24" s="2">
        <f t="shared" si="8"/>
        <v>-1.9287541126548327</v>
      </c>
      <c r="M24" s="2">
        <f t="shared" si="8"/>
        <v>0.43804475936078424</v>
      </c>
      <c r="N24" s="2">
        <f t="shared" si="8"/>
        <v>-1.0677504402897222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0.25309337536855303</v>
      </c>
      <c r="D25" s="2">
        <f t="shared" si="9"/>
        <v>0.8136262632431488</v>
      </c>
      <c r="E25" s="2">
        <f t="shared" si="9"/>
        <v>0.98457412810616773</v>
      </c>
      <c r="F25" s="2">
        <f t="shared" si="9"/>
        <v>0.92826205439993015</v>
      </c>
      <c r="G25" s="2">
        <f t="shared" si="9"/>
        <v>0.55748250739984939</v>
      </c>
      <c r="H25" s="2">
        <f t="shared" si="9"/>
        <v>0.85205249228494362</v>
      </c>
      <c r="I25" s="2">
        <f t="shared" si="9"/>
        <v>0.13673144620756414</v>
      </c>
      <c r="J25" s="2">
        <f t="shared" si="9"/>
        <v>0.84214352303829376</v>
      </c>
      <c r="K25" s="2">
        <f t="shared" si="9"/>
        <v>0.98001188985215826</v>
      </c>
      <c r="L25" s="2">
        <f t="shared" si="9"/>
        <v>0.14934868976311952</v>
      </c>
      <c r="M25" s="2">
        <f t="shared" si="9"/>
        <v>0.69097663869949733</v>
      </c>
      <c r="N25" s="2">
        <f t="shared" si="9"/>
        <v>0.36392540622901415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6.5453703703708399E-2</v>
      </c>
    </row>
  </sheetData>
  <conditionalFormatting sqref="C25:N25">
    <cfRule type="cellIs" dxfId="23" priority="1" operator="lessThan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2497-1315-3C46-846B-600E773ABFC5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66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f>E418_act!B2</f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0</v>
      </c>
      <c r="B3">
        <v>6.5296666666666674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17</v>
      </c>
      <c r="B4">
        <v>6.4022999999999994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162.9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1.9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5.7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1.363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1.21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16.25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185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0.436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0.81</v>
      </c>
      <c r="O4" s="1"/>
      <c r="P4" s="1"/>
      <c r="T4" s="1"/>
      <c r="U4" s="1"/>
      <c r="V4" s="1"/>
    </row>
    <row r="5" spans="1:22" x14ac:dyDescent="0.2">
      <c r="A5" t="s">
        <v>20</v>
      </c>
      <c r="B5">
        <v>6.5359999999999996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173.4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-4.5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0.53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1.224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0.92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14.28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225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5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0.91200000000000003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0.89300000000000002</v>
      </c>
      <c r="O5" s="1"/>
      <c r="P5" s="1"/>
      <c r="T5" s="1"/>
      <c r="U5" s="1"/>
      <c r="V5" s="1"/>
    </row>
    <row r="6" spans="1:22" x14ac:dyDescent="0.2">
      <c r="A6" t="s">
        <v>16</v>
      </c>
      <c r="B6">
        <v>6.5964999999999998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153.19999999999999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-3.2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0.32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10.4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1.0029999999999999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0.86299999999999999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13.69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195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2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2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0.97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1.0680000000000001</v>
      </c>
      <c r="O6" s="1"/>
      <c r="P6" s="1"/>
      <c r="T6" s="1"/>
      <c r="U6" s="1"/>
      <c r="V6" s="1"/>
    </row>
    <row r="7" spans="1:22" x14ac:dyDescent="0.2">
      <c r="M7" t="str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/>
      </c>
      <c r="N7" t="str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/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6.5140860340632596</v>
      </c>
      <c r="C15" s="1">
        <f t="shared" si="0"/>
        <v>160.37999999999997</v>
      </c>
      <c r="D15" s="1">
        <f t="shared" si="0"/>
        <v>-2.6399999999999997</v>
      </c>
      <c r="E15" s="1">
        <f t="shared" si="0"/>
        <v>0.42199999999999999</v>
      </c>
      <c r="F15" s="1">
        <f t="shared" si="0"/>
        <v>9.68</v>
      </c>
      <c r="G15" s="1">
        <f t="shared" si="0"/>
        <v>1.1852</v>
      </c>
      <c r="H15" s="1">
        <f t="shared" si="0"/>
        <v>0.91080000000000005</v>
      </c>
      <c r="I15" s="1">
        <f t="shared" si="0"/>
        <v>14.875999999999999</v>
      </c>
      <c r="J15" s="1">
        <f t="shared" si="0"/>
        <v>197</v>
      </c>
      <c r="K15" s="1">
        <f t="shared" si="0"/>
        <v>2.4</v>
      </c>
      <c r="L15" s="1">
        <f t="shared" si="0"/>
        <v>0.8</v>
      </c>
      <c r="M15" s="1">
        <f t="shared" si="0"/>
        <v>0.9234</v>
      </c>
      <c r="N15" s="1">
        <f t="shared" si="0"/>
        <v>0.92300000000000004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7.0846899559426316E-2</v>
      </c>
      <c r="C16" s="1">
        <f t="shared" si="1"/>
        <v>11.936163537753661</v>
      </c>
      <c r="D16" s="1">
        <f t="shared" si="1"/>
        <v>2.5841826560829637</v>
      </c>
      <c r="E16" s="1">
        <f t="shared" si="1"/>
        <v>0.10473776778220933</v>
      </c>
      <c r="F16" s="1">
        <f t="shared" si="1"/>
        <v>2.2543291685111133</v>
      </c>
      <c r="G16" s="1">
        <f t="shared" si="1"/>
        <v>0.12936266849443084</v>
      </c>
      <c r="H16" s="1">
        <f t="shared" si="1"/>
        <v>0.18229563900433754</v>
      </c>
      <c r="I16" s="1">
        <f t="shared" si="1"/>
        <v>1.063804493316324</v>
      </c>
      <c r="J16" s="1">
        <f t="shared" si="1"/>
        <v>17.535677916750181</v>
      </c>
      <c r="K16" s="1">
        <f t="shared" si="1"/>
        <v>1.8165902124584949</v>
      </c>
      <c r="L16" s="1">
        <f t="shared" si="1"/>
        <v>1.0954451150103321</v>
      </c>
      <c r="M16" s="1">
        <f t="shared" si="1"/>
        <v>0.31169504327146402</v>
      </c>
      <c r="N16" s="1">
        <f t="shared" si="1"/>
        <v>9.4797151855949779E-2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-0.26997514891807439</v>
      </c>
      <c r="D18" s="1">
        <f t="shared" si="2"/>
        <v>-0.81601077365312147</v>
      </c>
      <c r="E18" s="1">
        <f t="shared" si="2"/>
        <v>0.27855781190433476</v>
      </c>
      <c r="F18" s="1">
        <f t="shared" si="2"/>
        <v>0.81683402622225942</v>
      </c>
      <c r="G18" s="1">
        <f t="shared" si="2"/>
        <v>-0.93465414656195966</v>
      </c>
      <c r="H18" s="1">
        <f t="shared" si="2"/>
        <v>-0.71129274152205935</v>
      </c>
      <c r="I18" s="1">
        <f t="shared" si="2"/>
        <v>-0.92151842354837332</v>
      </c>
      <c r="J18" s="1">
        <f t="shared" si="2"/>
        <v>0.3020403058891678</v>
      </c>
      <c r="K18" s="1">
        <f t="shared" si="2"/>
        <v>0.54621582507491673</v>
      </c>
      <c r="L18" s="1">
        <f t="shared" si="2"/>
        <v>0.63133616841246443</v>
      </c>
      <c r="M18" s="1">
        <f t="shared" si="2"/>
        <v>0.63564366765346281</v>
      </c>
      <c r="N18" s="1">
        <f t="shared" si="2"/>
        <v>0.91234519344459497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-45.484947805126346</v>
      </c>
      <c r="D19" s="2">
        <f t="shared" si="3"/>
        <v>-29.764476661147945</v>
      </c>
      <c r="E19" s="2">
        <f t="shared" si="3"/>
        <v>0.41181087102737851</v>
      </c>
      <c r="F19" s="2">
        <f t="shared" si="3"/>
        <v>25.991437629541352</v>
      </c>
      <c r="G19" s="2">
        <f t="shared" si="3"/>
        <v>-1.7066287342217612</v>
      </c>
      <c r="H19" s="2">
        <f t="shared" si="3"/>
        <v>-1.8302221500342157</v>
      </c>
      <c r="I19" s="2">
        <f t="shared" si="3"/>
        <v>-13.837097258183434</v>
      </c>
      <c r="J19" s="2">
        <f t="shared" si="3"/>
        <v>74.759538595001843</v>
      </c>
      <c r="K19" s="2">
        <f t="shared" si="3"/>
        <v>14.005557446995073</v>
      </c>
      <c r="L19" s="2">
        <f t="shared" si="3"/>
        <v>9.7618121035298966</v>
      </c>
      <c r="M19" s="2">
        <f t="shared" si="3"/>
        <v>2.7965511790433348</v>
      </c>
      <c r="N19" s="2">
        <f t="shared" si="3"/>
        <v>1.2207693827937711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456.67286325746977</v>
      </c>
      <c r="D20" s="2">
        <f t="shared" si="4"/>
        <v>191.2483617295857</v>
      </c>
      <c r="E20" s="2">
        <f t="shared" si="4"/>
        <v>-2.2605714436348725</v>
      </c>
      <c r="F20" s="2">
        <f t="shared" si="4"/>
        <v>-159.6304608678216</v>
      </c>
      <c r="G20" s="2">
        <f t="shared" si="4"/>
        <v>12.302326402925033</v>
      </c>
      <c r="H20" s="2">
        <f t="shared" si="4"/>
        <v>12.833024546771117</v>
      </c>
      <c r="I20" s="2">
        <f t="shared" si="4"/>
        <v>105.01204200150774</v>
      </c>
      <c r="J20" s="2">
        <f t="shared" si="4"/>
        <v>-289.99006627471476</v>
      </c>
      <c r="K20" s="2">
        <f t="shared" si="4"/>
        <v>-88.833406164741277</v>
      </c>
      <c r="L20" s="2">
        <f t="shared" si="4"/>
        <v>-62.789283890753794</v>
      </c>
      <c r="M20" s="2">
        <f t="shared" si="4"/>
        <v>-17.29357497894933</v>
      </c>
      <c r="N20" s="2">
        <f t="shared" si="4"/>
        <v>-7.0291967872689298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7.2886581033336478E-2</v>
      </c>
      <c r="D21" s="2">
        <f t="shared" si="5"/>
        <v>0.66587358271796604</v>
      </c>
      <c r="E21" s="2">
        <f t="shared" si="5"/>
        <v>7.7594454572930752E-2</v>
      </c>
      <c r="F21" s="2">
        <f t="shared" si="5"/>
        <v>0.66721782639446703</v>
      </c>
      <c r="G21" s="2">
        <f t="shared" si="5"/>
        <v>0.87357837368546543</v>
      </c>
      <c r="H21" s="2">
        <f t="shared" si="5"/>
        <v>0.50593736414196711</v>
      </c>
      <c r="I21" s="2">
        <f t="shared" si="5"/>
        <v>0.84919620493907921</v>
      </c>
      <c r="J21" s="2">
        <f t="shared" si="5"/>
        <v>9.1228346381622125E-2</v>
      </c>
      <c r="K21" s="2">
        <f t="shared" si="5"/>
        <v>0.29835172756227213</v>
      </c>
      <c r="L21" s="2">
        <f t="shared" si="5"/>
        <v>0.39858535754573166</v>
      </c>
      <c r="M21" s="2">
        <f t="shared" si="5"/>
        <v>0.40404287222794605</v>
      </c>
      <c r="N21" s="2">
        <f t="shared" si="5"/>
        <v>0.83237375200145558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-0.48564395047797049</v>
      </c>
      <c r="D24" s="2">
        <f t="shared" si="8"/>
        <v>-2.4451252646868347</v>
      </c>
      <c r="E24" s="2">
        <f t="shared" si="8"/>
        <v>0.50235995990856497</v>
      </c>
      <c r="F24" s="2">
        <f t="shared" si="8"/>
        <v>2.4525305215927671</v>
      </c>
      <c r="G24" s="2">
        <f t="shared" si="8"/>
        <v>-4.5530338378214159</v>
      </c>
      <c r="H24" s="2">
        <f t="shared" si="8"/>
        <v>-1.7527420209897775</v>
      </c>
      <c r="I24" s="2">
        <f t="shared" si="8"/>
        <v>-4.1101579730304909</v>
      </c>
      <c r="J24" s="2">
        <f t="shared" si="8"/>
        <v>0.54877983243831185</v>
      </c>
      <c r="K24" s="2">
        <f t="shared" si="8"/>
        <v>1.1294452302374294</v>
      </c>
      <c r="L24" s="2">
        <f t="shared" si="8"/>
        <v>1.4100493048583809</v>
      </c>
      <c r="M24" s="2">
        <f t="shared" si="8"/>
        <v>1.42615537485831</v>
      </c>
      <c r="N24" s="2">
        <f t="shared" si="8"/>
        <v>3.8596578185755557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0.66047955871809583</v>
      </c>
      <c r="D25" s="2">
        <f t="shared" si="9"/>
        <v>9.2078445118544364E-2</v>
      </c>
      <c r="E25" s="2">
        <f t="shared" si="9"/>
        <v>0.64997085034130508</v>
      </c>
      <c r="F25" s="2">
        <f t="shared" si="9"/>
        <v>9.1473158083713035E-2</v>
      </c>
      <c r="G25" s="2">
        <f t="shared" si="9"/>
        <v>1.9854438064994505E-2</v>
      </c>
      <c r="H25" s="2">
        <f t="shared" si="9"/>
        <v>0.17793262466786602</v>
      </c>
      <c r="I25" s="2">
        <f t="shared" si="9"/>
        <v>2.6079884696402524E-2</v>
      </c>
      <c r="J25" s="2">
        <f t="shared" si="9"/>
        <v>0.62136035880796037</v>
      </c>
      <c r="K25" s="2">
        <f t="shared" si="9"/>
        <v>0.3408600705705373</v>
      </c>
      <c r="L25" s="2">
        <f t="shared" si="9"/>
        <v>0.25332011614638511</v>
      </c>
      <c r="M25" s="2">
        <f t="shared" si="9"/>
        <v>0.24907650498002398</v>
      </c>
      <c r="N25" s="2">
        <f t="shared" si="9"/>
        <v>3.0739960981190025E-2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0.19420000000000037</v>
      </c>
    </row>
  </sheetData>
  <conditionalFormatting sqref="C25:N25">
    <cfRule type="cellIs" dxfId="22" priority="1" operator="lessThan">
      <formula>0.05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1F96-CDAA-9F4C-876B-783798F9606D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59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f>E418_des!B2</f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6.934181818181818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14</v>
      </c>
      <c r="B4">
        <v>6.8337499999999993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114.1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11.6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0.77200000000000002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0.60399999999999998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12.82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160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1.5720000000000001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1.167</v>
      </c>
      <c r="O4" s="1"/>
      <c r="P4" s="1"/>
      <c r="T4" s="1"/>
      <c r="U4" s="1"/>
      <c r="V4" s="1"/>
    </row>
    <row r="5" spans="1:22" x14ac:dyDescent="0.2">
      <c r="A5" t="s">
        <v>1</v>
      </c>
      <c r="B5">
        <v>6.8388333333333335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88.6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8.1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1.4890000000000001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0.70899999999999996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115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0.78800000000000003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0.82399999999999995</v>
      </c>
      <c r="O5" s="1"/>
      <c r="P5" s="1"/>
      <c r="T5" s="1"/>
      <c r="U5" s="1"/>
      <c r="V5" s="1"/>
    </row>
    <row r="6" spans="1:22" x14ac:dyDescent="0.2">
      <c r="A6" t="s">
        <v>4</v>
      </c>
      <c r="B6">
        <v>7.0155714285714277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111.1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0.92400000000000004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0.54100000000000004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11.68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1.1970000000000001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1.1970000000000001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6.7698636363636346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0.89300000000000002</v>
      </c>
      <c r="O7" s="1"/>
      <c r="P7" s="1"/>
      <c r="T7" s="1"/>
      <c r="U7" s="1"/>
      <c r="V7" s="1"/>
    </row>
    <row r="8" spans="1:22" x14ac:dyDescent="0.2">
      <c r="A8" t="s">
        <v>6</v>
      </c>
      <c r="B8">
        <v>6.717625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168.6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-3.9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0.47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11.3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1.1719999999999999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0.72099999999999997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15.71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200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3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1.302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0.89700000000000002</v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6.8949327028791316</v>
      </c>
      <c r="C15" s="1">
        <f t="shared" si="0"/>
        <v>134.00000000000003</v>
      </c>
      <c r="D15" s="1">
        <f t="shared" si="0"/>
        <v>-2.8999999999999995</v>
      </c>
      <c r="E15" s="1">
        <f t="shared" si="0"/>
        <v>0.47428571428571431</v>
      </c>
      <c r="F15" s="1">
        <f t="shared" si="0"/>
        <v>11.042857142857143</v>
      </c>
      <c r="G15" s="1">
        <f t="shared" si="0"/>
        <v>1.1784285714285716</v>
      </c>
      <c r="H15" s="1">
        <f t="shared" si="0"/>
        <v>0.70028571428571429</v>
      </c>
      <c r="I15" s="1">
        <f t="shared" si="0"/>
        <v>13.430000000000003</v>
      </c>
      <c r="J15" s="1">
        <f t="shared" si="0"/>
        <v>174.28571428571428</v>
      </c>
      <c r="K15" s="1">
        <f t="shared" si="0"/>
        <v>1.7142857142857142</v>
      </c>
      <c r="L15" s="1">
        <f t="shared" si="0"/>
        <v>1.7142857142857142</v>
      </c>
      <c r="M15" s="1">
        <f t="shared" si="0"/>
        <v>1.131</v>
      </c>
      <c r="N15" s="1">
        <f t="shared" si="0"/>
        <v>0.95514285714285718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0.15140779556794667</v>
      </c>
      <c r="C16" s="1">
        <f t="shared" si="1"/>
        <v>31.215647785472303</v>
      </c>
      <c r="D16" s="1">
        <f t="shared" si="1"/>
        <v>2.114237451186598</v>
      </c>
      <c r="E16" s="1">
        <f t="shared" si="1"/>
        <v>5.5634864026418512E-2</v>
      </c>
      <c r="F16" s="1">
        <f t="shared" si="1"/>
        <v>1.583095220190653</v>
      </c>
      <c r="G16" s="1">
        <f t="shared" si="1"/>
        <v>0.26916404981773751</v>
      </c>
      <c r="H16" s="1">
        <f t="shared" si="1"/>
        <v>0.14183759995820808</v>
      </c>
      <c r="I16" s="1">
        <f t="shared" si="1"/>
        <v>1.5351655719606461</v>
      </c>
      <c r="J16" s="1">
        <f t="shared" si="1"/>
        <v>36.10500558885748</v>
      </c>
      <c r="K16" s="1">
        <f t="shared" si="1"/>
        <v>1.8898223650461361</v>
      </c>
      <c r="L16" s="1">
        <f t="shared" si="1"/>
        <v>1.7994708216848745</v>
      </c>
      <c r="M16" s="1">
        <f t="shared" si="1"/>
        <v>0.26203307679247978</v>
      </c>
      <c r="N16" s="1">
        <f t="shared" si="1"/>
        <v>0.1661208682169194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-0.30090935645984274</v>
      </c>
      <c r="D18" s="1">
        <f t="shared" si="2"/>
        <v>-6.2316371510902066E-2</v>
      </c>
      <c r="E18" s="1">
        <f t="shared" si="2"/>
        <v>0.25092888105626066</v>
      </c>
      <c r="F18" s="1">
        <f t="shared" si="2"/>
        <v>0.48303182990621069</v>
      </c>
      <c r="G18" s="1">
        <f t="shared" si="2"/>
        <v>0.229826951759486</v>
      </c>
      <c r="H18" s="1">
        <f t="shared" si="2"/>
        <v>-0.57512717955476311</v>
      </c>
      <c r="I18" s="1">
        <f t="shared" si="2"/>
        <v>-0.35830127715436988</v>
      </c>
      <c r="J18" s="1">
        <f t="shared" si="2"/>
        <v>-0.16236847084610481</v>
      </c>
      <c r="K18" s="1">
        <f t="shared" si="2"/>
        <v>-0.6996350748983875</v>
      </c>
      <c r="L18" s="1">
        <f t="shared" si="2"/>
        <v>0.90398881856544178</v>
      </c>
      <c r="M18" s="1">
        <f t="shared" si="2"/>
        <v>-1.382240164732644E-2</v>
      </c>
      <c r="N18" s="1">
        <f t="shared" si="2"/>
        <v>-6.029066064865686E-2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-62.038288394393234</v>
      </c>
      <c r="D19" s="2">
        <f t="shared" si="3"/>
        <v>-0.87017716608443085</v>
      </c>
      <c r="E19" s="2">
        <f t="shared" si="3"/>
        <v>9.2203932601353414E-2</v>
      </c>
      <c r="F19" s="2">
        <f t="shared" si="3"/>
        <v>5.0505020448653148</v>
      </c>
      <c r="G19" s="2">
        <f t="shared" si="3"/>
        <v>0.40857310458025897</v>
      </c>
      <c r="H19" s="2">
        <f t="shared" si="3"/>
        <v>-0.53877449647018527</v>
      </c>
      <c r="I19" s="2">
        <f t="shared" si="3"/>
        <v>-3.6329158813363907</v>
      </c>
      <c r="J19" s="2">
        <f t="shared" si="3"/>
        <v>-38.718710125609398</v>
      </c>
      <c r="K19" s="2">
        <f t="shared" si="3"/>
        <v>-8.7326151665707954</v>
      </c>
      <c r="L19" s="2">
        <f t="shared" si="3"/>
        <v>10.74384245564084</v>
      </c>
      <c r="M19" s="2">
        <f t="shared" si="3"/>
        <v>-2.3921664130464034E-2</v>
      </c>
      <c r="N19" s="2">
        <f t="shared" si="3"/>
        <v>-6.6149413606856583E-2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561.74982348114884</v>
      </c>
      <c r="D20" s="2">
        <f t="shared" si="4"/>
        <v>3.0998129997342287</v>
      </c>
      <c r="E20" s="2">
        <f t="shared" si="4"/>
        <v>-0.16145419594142063</v>
      </c>
      <c r="F20" s="2">
        <f t="shared" si="4"/>
        <v>-23.780014572242642</v>
      </c>
      <c r="G20" s="2">
        <f t="shared" si="4"/>
        <v>-1.6386554888587115</v>
      </c>
      <c r="H20" s="2">
        <f t="shared" si="4"/>
        <v>4.4150996094752317</v>
      </c>
      <c r="I20" s="2">
        <f t="shared" si="4"/>
        <v>38.478710517035246</v>
      </c>
      <c r="J20" s="2">
        <f t="shared" si="4"/>
        <v>441.24861494407588</v>
      </c>
      <c r="K20" s="2">
        <f t="shared" si="4"/>
        <v>61.925079607932986</v>
      </c>
      <c r="L20" s="2">
        <f t="shared" si="4"/>
        <v>-72.363784987693549</v>
      </c>
      <c r="M20" s="2">
        <f t="shared" si="4"/>
        <v>1.2959382643204271</v>
      </c>
      <c r="N20" s="2">
        <f t="shared" si="4"/>
        <v>1.4112386122970504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9.0546440805076706E-2</v>
      </c>
      <c r="D21" s="2">
        <f t="shared" si="5"/>
        <v>3.8833301582847667E-3</v>
      </c>
      <c r="E21" s="2">
        <f t="shared" si="5"/>
        <v>6.2965303348147039E-2</v>
      </c>
      <c r="F21" s="2">
        <f t="shared" si="5"/>
        <v>0.23331974870254241</v>
      </c>
      <c r="G21" s="2">
        <f t="shared" si="5"/>
        <v>5.2820427755057096E-2</v>
      </c>
      <c r="H21" s="2">
        <f t="shared" si="5"/>
        <v>0.33077127266261686</v>
      </c>
      <c r="I21" s="2">
        <f t="shared" si="5"/>
        <v>0.12837980521045259</v>
      </c>
      <c r="J21" s="2">
        <f t="shared" si="5"/>
        <v>2.6363520324902388E-2</v>
      </c>
      <c r="K21" s="2">
        <f t="shared" si="5"/>
        <v>0.48948923802807243</v>
      </c>
      <c r="L21" s="2">
        <f t="shared" si="5"/>
        <v>0.81719578409134341</v>
      </c>
      <c r="M21" s="2">
        <f t="shared" si="5"/>
        <v>1.9105878730001264E-4</v>
      </c>
      <c r="N21" s="2">
        <f t="shared" si="5"/>
        <v>3.6349637614515001E-3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7</v>
      </c>
      <c r="D22">
        <f t="shared" ref="D22:N22" si="6">COUNT($B2:$B13)</f>
        <v>7</v>
      </c>
      <c r="E22">
        <f t="shared" si="6"/>
        <v>7</v>
      </c>
      <c r="F22">
        <f t="shared" si="6"/>
        <v>7</v>
      </c>
      <c r="G22">
        <f t="shared" si="6"/>
        <v>7</v>
      </c>
      <c r="H22">
        <f t="shared" si="6"/>
        <v>7</v>
      </c>
      <c r="I22">
        <f t="shared" si="6"/>
        <v>7</v>
      </c>
      <c r="J22">
        <f t="shared" si="6"/>
        <v>7</v>
      </c>
      <c r="K22">
        <f t="shared" si="6"/>
        <v>7</v>
      </c>
      <c r="L22">
        <f t="shared" si="6"/>
        <v>7</v>
      </c>
      <c r="M22">
        <f t="shared" si="6"/>
        <v>7</v>
      </c>
      <c r="N22">
        <f t="shared" si="6"/>
        <v>7</v>
      </c>
    </row>
    <row r="23" spans="1:22" x14ac:dyDescent="0.2">
      <c r="A23" t="s">
        <v>34</v>
      </c>
      <c r="C23">
        <f t="shared" ref="C23:N23" si="7">C22-2</f>
        <v>5</v>
      </c>
      <c r="D23">
        <f t="shared" si="7"/>
        <v>5</v>
      </c>
      <c r="E23">
        <f t="shared" si="7"/>
        <v>5</v>
      </c>
      <c r="F23">
        <f t="shared" si="7"/>
        <v>5</v>
      </c>
      <c r="G23">
        <f t="shared" si="7"/>
        <v>5</v>
      </c>
      <c r="H23">
        <f t="shared" si="7"/>
        <v>5</v>
      </c>
      <c r="I23">
        <f t="shared" si="7"/>
        <v>5</v>
      </c>
      <c r="J23">
        <f t="shared" si="7"/>
        <v>5</v>
      </c>
      <c r="K23">
        <f t="shared" si="7"/>
        <v>5</v>
      </c>
      <c r="L23">
        <f t="shared" si="7"/>
        <v>5</v>
      </c>
      <c r="M23">
        <f t="shared" si="7"/>
        <v>5</v>
      </c>
      <c r="N23">
        <f t="shared" si="7"/>
        <v>5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-0.70555427980750451</v>
      </c>
      <c r="D24" s="2">
        <f t="shared" si="8"/>
        <v>-0.13961499205503222</v>
      </c>
      <c r="E24" s="2">
        <f t="shared" si="8"/>
        <v>0.57963929027522132</v>
      </c>
      <c r="F24" s="2">
        <f t="shared" si="8"/>
        <v>1.2335410707557397</v>
      </c>
      <c r="G24" s="2">
        <f t="shared" si="8"/>
        <v>0.52804361743770212</v>
      </c>
      <c r="H24" s="2">
        <f t="shared" si="8"/>
        <v>-1.5720328124750318</v>
      </c>
      <c r="I24" s="2">
        <f t="shared" si="8"/>
        <v>-0.85816286274968712</v>
      </c>
      <c r="J24" s="2">
        <f t="shared" si="8"/>
        <v>-0.36794955671843071</v>
      </c>
      <c r="K24" s="2">
        <f t="shared" si="8"/>
        <v>-2.1895462595677135</v>
      </c>
      <c r="L24" s="2">
        <f t="shared" si="8"/>
        <v>4.7277549410545143</v>
      </c>
      <c r="M24" s="2">
        <f t="shared" si="8"/>
        <v>-3.0910782725115268E-2</v>
      </c>
      <c r="N24" s="2">
        <f t="shared" si="8"/>
        <v>-0.1350597076639484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0.51197017018304902</v>
      </c>
      <c r="D25" s="2">
        <f t="shared" si="9"/>
        <v>0.89441373407672664</v>
      </c>
      <c r="E25" s="2">
        <f t="shared" si="9"/>
        <v>0.5872935645227243</v>
      </c>
      <c r="F25" s="2">
        <f t="shared" si="9"/>
        <v>0.27219512824857617</v>
      </c>
      <c r="G25" s="2">
        <f t="shared" si="9"/>
        <v>0.62005586184777439</v>
      </c>
      <c r="H25" s="2">
        <f t="shared" si="9"/>
        <v>0.17674806708399043</v>
      </c>
      <c r="I25" s="2">
        <f t="shared" si="9"/>
        <v>0.43000989367558046</v>
      </c>
      <c r="J25" s="2">
        <f t="shared" si="9"/>
        <v>0.72797379854980027</v>
      </c>
      <c r="K25" s="2">
        <f t="shared" si="9"/>
        <v>8.0142495553545176E-2</v>
      </c>
      <c r="L25" s="2">
        <f t="shared" si="9"/>
        <v>5.2065122250429339E-3</v>
      </c>
      <c r="M25" s="2">
        <f t="shared" si="9"/>
        <v>0.97653660375312512</v>
      </c>
      <c r="N25" s="2">
        <f t="shared" si="9"/>
        <v>0.89783331811002842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0.43707870370370738</v>
      </c>
    </row>
  </sheetData>
  <conditionalFormatting sqref="C25:N25">
    <cfRule type="cellIs" dxfId="21" priority="1" operator="lessThan">
      <formula>0.05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4D38-6397-9D45-93A2-4D5003CAB3F9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59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f>E418_act!B2</f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6.3043333333333322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14</v>
      </c>
      <c r="B4">
        <v>6.2004999999999999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114.1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11.6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0.77200000000000002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0.60399999999999998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12.82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160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1.5720000000000001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1.167</v>
      </c>
      <c r="O4" s="1"/>
      <c r="P4" s="1"/>
      <c r="T4" s="1"/>
      <c r="U4" s="1"/>
      <c r="V4" s="1"/>
    </row>
    <row r="5" spans="1:22" x14ac:dyDescent="0.2">
      <c r="A5" t="s">
        <v>1</v>
      </c>
      <c r="B5">
        <v>6.3765833333333335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88.6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8.1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1.4890000000000001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0.70899999999999996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115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0.78800000000000003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0.82399999999999995</v>
      </c>
      <c r="O5" s="1"/>
      <c r="P5" s="1"/>
      <c r="T5" s="1"/>
      <c r="U5" s="1"/>
      <c r="V5" s="1"/>
    </row>
    <row r="6" spans="1:22" x14ac:dyDescent="0.2">
      <c r="A6" t="s">
        <v>4</v>
      </c>
      <c r="B6">
        <v>6.4528571428571428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111.1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0.92400000000000004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0.54100000000000004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11.68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1.1970000000000001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1.1970000000000001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5.8300833333333335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0.89300000000000002</v>
      </c>
      <c r="O7" s="1"/>
      <c r="P7" s="1"/>
      <c r="T7" s="1"/>
      <c r="U7" s="1"/>
      <c r="V7" s="1"/>
    </row>
    <row r="8" spans="1:22" x14ac:dyDescent="0.2">
      <c r="A8" t="s">
        <v>6</v>
      </c>
      <c r="B8">
        <v>5.6716249999999988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168.6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-3.9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0.47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11.3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1.1719999999999999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0.72099999999999997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15.71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200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3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1.302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0.89700000000000002</v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6.1917065209295403</v>
      </c>
      <c r="C15" s="1">
        <f t="shared" si="0"/>
        <v>134.00000000000003</v>
      </c>
      <c r="D15" s="1">
        <f t="shared" si="0"/>
        <v>-2.8999999999999995</v>
      </c>
      <c r="E15" s="1">
        <f t="shared" si="0"/>
        <v>0.47428571428571431</v>
      </c>
      <c r="F15" s="1">
        <f t="shared" si="0"/>
        <v>11.042857142857143</v>
      </c>
      <c r="G15" s="1">
        <f t="shared" si="0"/>
        <v>1.1784285714285716</v>
      </c>
      <c r="H15" s="1">
        <f t="shared" si="0"/>
        <v>0.70028571428571429</v>
      </c>
      <c r="I15" s="1">
        <f t="shared" si="0"/>
        <v>13.430000000000003</v>
      </c>
      <c r="J15" s="1">
        <f t="shared" si="0"/>
        <v>174.28571428571428</v>
      </c>
      <c r="K15" s="1">
        <f t="shared" si="0"/>
        <v>1.7142857142857142</v>
      </c>
      <c r="L15" s="1">
        <f t="shared" si="0"/>
        <v>1.7142857142857142</v>
      </c>
      <c r="M15" s="1">
        <f t="shared" si="0"/>
        <v>1.131</v>
      </c>
      <c r="N15" s="1">
        <f t="shared" si="0"/>
        <v>0.95514285714285718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0.3201964960905847</v>
      </c>
      <c r="C16" s="1">
        <f t="shared" si="1"/>
        <v>31.215647785472303</v>
      </c>
      <c r="D16" s="1">
        <f t="shared" si="1"/>
        <v>2.114237451186598</v>
      </c>
      <c r="E16" s="1">
        <f t="shared" si="1"/>
        <v>5.5634864026418512E-2</v>
      </c>
      <c r="F16" s="1">
        <f t="shared" si="1"/>
        <v>1.583095220190653</v>
      </c>
      <c r="G16" s="1">
        <f t="shared" si="1"/>
        <v>0.26916404981773751</v>
      </c>
      <c r="H16" s="1">
        <f t="shared" si="1"/>
        <v>0.14183759995820808</v>
      </c>
      <c r="I16" s="1">
        <f t="shared" si="1"/>
        <v>1.5351655719606461</v>
      </c>
      <c r="J16" s="1">
        <f t="shared" si="1"/>
        <v>36.10500558885748</v>
      </c>
      <c r="K16" s="1">
        <f t="shared" si="1"/>
        <v>1.8898223650461361</v>
      </c>
      <c r="L16" s="1">
        <f t="shared" si="1"/>
        <v>1.7994708216848745</v>
      </c>
      <c r="M16" s="1">
        <f t="shared" si="1"/>
        <v>0.26203307679247978</v>
      </c>
      <c r="N16" s="1">
        <f t="shared" si="1"/>
        <v>0.1661208682169194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-0.73877642635217078</v>
      </c>
      <c r="D18" s="1">
        <f t="shared" si="2"/>
        <v>0.38212862240123285</v>
      </c>
      <c r="E18" s="1">
        <f t="shared" si="2"/>
        <v>-0.18707575916401278</v>
      </c>
      <c r="F18" s="1">
        <f t="shared" si="2"/>
        <v>0.12114199481268174</v>
      </c>
      <c r="G18" s="1">
        <f t="shared" si="2"/>
        <v>0.14494163005114741</v>
      </c>
      <c r="H18" s="1">
        <f t="shared" si="2"/>
        <v>-0.57692886197930104</v>
      </c>
      <c r="I18" s="1">
        <f t="shared" si="2"/>
        <v>-0.73015962930929434</v>
      </c>
      <c r="J18" s="1">
        <f t="shared" si="2"/>
        <v>-0.62798243318517888</v>
      </c>
      <c r="K18" s="1">
        <f t="shared" si="2"/>
        <v>-0.86086184798998733</v>
      </c>
      <c r="L18" s="1">
        <f t="shared" si="2"/>
        <v>0.73601195944328801</v>
      </c>
      <c r="M18" s="1">
        <f t="shared" si="2"/>
        <v>-0.12211202153489596</v>
      </c>
      <c r="N18" s="1">
        <f t="shared" si="2"/>
        <v>9.8895529018832071E-2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-72.022601742322621</v>
      </c>
      <c r="D19" s="2">
        <f t="shared" si="3"/>
        <v>2.5231714104156451</v>
      </c>
      <c r="E19" s="2">
        <f t="shared" si="3"/>
        <v>-3.2504835470730624E-2</v>
      </c>
      <c r="F19" s="2">
        <f t="shared" si="3"/>
        <v>0.59894257212003255</v>
      </c>
      <c r="G19" s="2">
        <f t="shared" si="3"/>
        <v>0.12184104638270071</v>
      </c>
      <c r="H19" s="2">
        <f t="shared" si="3"/>
        <v>-0.25556246282787087</v>
      </c>
      <c r="I19" s="2">
        <f t="shared" si="3"/>
        <v>-3.5007126518776239</v>
      </c>
      <c r="J19" s="2">
        <f t="shared" si="3"/>
        <v>-70.810610161832727</v>
      </c>
      <c r="K19" s="2">
        <f t="shared" si="3"/>
        <v>-5.0808675092002762</v>
      </c>
      <c r="L19" s="2">
        <f t="shared" si="3"/>
        <v>4.1363102394931319</v>
      </c>
      <c r="M19" s="2">
        <f t="shared" si="3"/>
        <v>-9.9930477399996581E-2</v>
      </c>
      <c r="N19" s="2">
        <f t="shared" si="3"/>
        <v>5.130790418997011E-2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579.94281286225032</v>
      </c>
      <c r="D20" s="2">
        <f t="shared" si="4"/>
        <v>-18.522736875293536</v>
      </c>
      <c r="E20" s="2">
        <f t="shared" si="4"/>
        <v>0.67554611603157899</v>
      </c>
      <c r="F20" s="2">
        <f t="shared" si="4"/>
        <v>7.3343805133992257</v>
      </c>
      <c r="G20" s="2">
        <f t="shared" si="4"/>
        <v>0.42402457002392502</v>
      </c>
      <c r="H20" s="2">
        <f t="shared" si="4"/>
        <v>2.2826534818818556</v>
      </c>
      <c r="I20" s="2">
        <f t="shared" si="4"/>
        <v>35.105385354531236</v>
      </c>
      <c r="J20" s="2">
        <f t="shared" si="4"/>
        <v>612.72423097573358</v>
      </c>
      <c r="K20" s="2">
        <f t="shared" si="4"/>
        <v>33.173526202980092</v>
      </c>
      <c r="L20" s="2">
        <f t="shared" si="4"/>
        <v>-23.896533368171539</v>
      </c>
      <c r="M20" s="2">
        <f t="shared" si="4"/>
        <v>1.7497401885571608</v>
      </c>
      <c r="N20" s="2">
        <f t="shared" si="4"/>
        <v>0.63745937219459115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0.54579060813368463</v>
      </c>
      <c r="D21" s="2">
        <f t="shared" si="5"/>
        <v>0.14602228405826401</v>
      </c>
      <c r="E21" s="2">
        <f t="shared" si="5"/>
        <v>3.4997339666791701E-2</v>
      </c>
      <c r="F21" s="2">
        <f t="shared" si="5"/>
        <v>1.4675382907195807E-2</v>
      </c>
      <c r="G21" s="2">
        <f t="shared" si="5"/>
        <v>2.100807612188367E-2</v>
      </c>
      <c r="H21" s="2">
        <f t="shared" si="5"/>
        <v>0.33284691178473153</v>
      </c>
      <c r="I21" s="2">
        <f t="shared" si="5"/>
        <v>0.53313308427308626</v>
      </c>
      <c r="J21" s="2">
        <f t="shared" si="5"/>
        <v>0.39436193638917766</v>
      </c>
      <c r="K21" s="2">
        <f t="shared" si="5"/>
        <v>0.74108312132473642</v>
      </c>
      <c r="L21" s="2">
        <f t="shared" si="5"/>
        <v>0.54171360444354844</v>
      </c>
      <c r="M21" s="2">
        <f t="shared" si="5"/>
        <v>1.4911345803338895E-2</v>
      </c>
      <c r="N21" s="2">
        <f t="shared" si="5"/>
        <v>9.7803256599146588E-3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7</v>
      </c>
      <c r="D22">
        <f t="shared" ref="D22:N22" si="6">COUNT($B2:$B13)</f>
        <v>7</v>
      </c>
      <c r="E22">
        <f t="shared" si="6"/>
        <v>7</v>
      </c>
      <c r="F22">
        <f t="shared" si="6"/>
        <v>7</v>
      </c>
      <c r="G22">
        <f t="shared" si="6"/>
        <v>7</v>
      </c>
      <c r="H22">
        <f t="shared" si="6"/>
        <v>7</v>
      </c>
      <c r="I22">
        <f t="shared" si="6"/>
        <v>7</v>
      </c>
      <c r="J22">
        <f t="shared" si="6"/>
        <v>7</v>
      </c>
      <c r="K22">
        <f t="shared" si="6"/>
        <v>7</v>
      </c>
      <c r="L22">
        <f t="shared" si="6"/>
        <v>7</v>
      </c>
      <c r="M22">
        <f t="shared" si="6"/>
        <v>7</v>
      </c>
      <c r="N22">
        <f t="shared" si="6"/>
        <v>7</v>
      </c>
    </row>
    <row r="23" spans="1:22" x14ac:dyDescent="0.2">
      <c r="A23" t="s">
        <v>34</v>
      </c>
      <c r="C23">
        <f t="shared" ref="C23:N23" si="7">C22-2</f>
        <v>5</v>
      </c>
      <c r="D23">
        <f t="shared" si="7"/>
        <v>5</v>
      </c>
      <c r="E23">
        <f t="shared" si="7"/>
        <v>5</v>
      </c>
      <c r="F23">
        <f t="shared" si="7"/>
        <v>5</v>
      </c>
      <c r="G23">
        <f t="shared" si="7"/>
        <v>5</v>
      </c>
      <c r="H23">
        <f t="shared" si="7"/>
        <v>5</v>
      </c>
      <c r="I23">
        <f t="shared" si="7"/>
        <v>5</v>
      </c>
      <c r="J23">
        <f t="shared" si="7"/>
        <v>5</v>
      </c>
      <c r="K23">
        <f t="shared" si="7"/>
        <v>5</v>
      </c>
      <c r="L23">
        <f t="shared" si="7"/>
        <v>5</v>
      </c>
      <c r="M23">
        <f t="shared" si="7"/>
        <v>5</v>
      </c>
      <c r="N23">
        <f t="shared" si="7"/>
        <v>5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-2.4511504919342886</v>
      </c>
      <c r="D24" s="2">
        <f t="shared" si="8"/>
        <v>0.92463707174090437</v>
      </c>
      <c r="E24" s="2">
        <f t="shared" si="8"/>
        <v>-0.4258319694982387</v>
      </c>
      <c r="F24" s="2">
        <f t="shared" si="8"/>
        <v>0.27289153005879657</v>
      </c>
      <c r="G24" s="2">
        <f t="shared" si="8"/>
        <v>0.32755828514295826</v>
      </c>
      <c r="H24" s="2">
        <f t="shared" si="8"/>
        <v>-1.5794086701649077</v>
      </c>
      <c r="I24" s="2">
        <f t="shared" si="8"/>
        <v>-2.3894957901865568</v>
      </c>
      <c r="J24" s="2">
        <f t="shared" si="8"/>
        <v>-1.8043713232212337</v>
      </c>
      <c r="K24" s="2">
        <f t="shared" si="8"/>
        <v>-3.7830169029176339</v>
      </c>
      <c r="L24" s="2">
        <f t="shared" si="8"/>
        <v>2.4310919810215497</v>
      </c>
      <c r="M24" s="2">
        <f t="shared" si="8"/>
        <v>-0.2751096121139785</v>
      </c>
      <c r="N24" s="2">
        <f t="shared" si="8"/>
        <v>0.22222651962510648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5.7854491704371659E-2</v>
      </c>
      <c r="D25" s="2">
        <f t="shared" si="9"/>
        <v>0.3975859345904269</v>
      </c>
      <c r="E25" s="2">
        <f t="shared" si="9"/>
        <v>0.68793842732685251</v>
      </c>
      <c r="F25" s="2">
        <f t="shared" si="9"/>
        <v>0.79584868241668671</v>
      </c>
      <c r="G25" s="2">
        <f t="shared" si="9"/>
        <v>0.75651591079643665</v>
      </c>
      <c r="H25" s="2">
        <f t="shared" si="9"/>
        <v>0.1750774435370602</v>
      </c>
      <c r="I25" s="2">
        <f t="shared" si="9"/>
        <v>6.2426646211540822E-2</v>
      </c>
      <c r="J25" s="2">
        <f t="shared" si="9"/>
        <v>0.13101821398343161</v>
      </c>
      <c r="K25" s="2">
        <f t="shared" si="9"/>
        <v>1.2850066284488126E-2</v>
      </c>
      <c r="L25" s="2">
        <f t="shared" si="9"/>
        <v>5.9300811938677297E-2</v>
      </c>
      <c r="M25" s="2">
        <f t="shared" si="9"/>
        <v>0.7942383199102182</v>
      </c>
      <c r="N25" s="2">
        <f t="shared" si="9"/>
        <v>0.83292954040247846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0.83433850364963646</v>
      </c>
    </row>
  </sheetData>
  <conditionalFormatting sqref="C25:N25">
    <cfRule type="cellIs" dxfId="20" priority="1" operator="lessThan">
      <formula>0.05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E45F9-ACFB-114C-8345-1D7E5D673B1F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58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f>E418_des!B2</f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1</v>
      </c>
      <c r="B3">
        <v>7.0105000000000004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6.8890999999999991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0</v>
      </c>
      <c r="B5">
        <v>6.9922666666666666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143.80000000000001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0.49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1.1639999999999999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0.84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14.45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0.997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0.94699999999999995</v>
      </c>
      <c r="O5" s="1"/>
      <c r="P5" s="1"/>
      <c r="T5" s="1"/>
      <c r="U5" s="1"/>
      <c r="V5" s="1"/>
    </row>
    <row r="6" spans="1:22" x14ac:dyDescent="0.2">
      <c r="A6" t="s">
        <v>20</v>
      </c>
      <c r="B6">
        <v>7.0528888888888881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173.4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-4.5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0.53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10.5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1.224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0.92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14.28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225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5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0.91200000000000003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0.89300000000000002</v>
      </c>
      <c r="O6" s="1"/>
      <c r="P6" s="1"/>
      <c r="T6" s="1"/>
      <c r="U6" s="1"/>
      <c r="V6" s="1"/>
    </row>
    <row r="7" spans="1:22" x14ac:dyDescent="0.2">
      <c r="A7" t="s">
        <v>16</v>
      </c>
      <c r="B7">
        <v>6.8980000000000006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153.19999999999999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-3.2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0.32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10.4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1.0029999999999999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0.86299999999999999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13.69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195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2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2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0.97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1.0680000000000001</v>
      </c>
      <c r="O7" s="1"/>
      <c r="P7" s="1"/>
      <c r="T7" s="1"/>
      <c r="U7" s="1"/>
      <c r="V7" s="1"/>
    </row>
    <row r="8" spans="1:22" x14ac:dyDescent="0.2">
      <c r="A8" t="s">
        <v>17</v>
      </c>
      <c r="B8">
        <v>7.1317500000000003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162.9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1.9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0.3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5.7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1.363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1.21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16.25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185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0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0.436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0.81</v>
      </c>
      <c r="O8" s="1"/>
      <c r="P8" s="1"/>
      <c r="T8" s="1"/>
      <c r="U8" s="1"/>
      <c r="V8" s="1"/>
    </row>
    <row r="9" spans="1:22" x14ac:dyDescent="0.2">
      <c r="A9" t="s">
        <v>2</v>
      </c>
      <c r="B9">
        <v>6.8271304347826085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140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4.2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0.39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5.9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0.99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1.9650000000000001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21.57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155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0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0.38700000000000001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0.77200000000000002</v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6.994542461755235</v>
      </c>
      <c r="C15" s="1">
        <f t="shared" si="0"/>
        <v>146.11250000000001</v>
      </c>
      <c r="D15" s="1">
        <f t="shared" si="0"/>
        <v>-1.3374999999999999</v>
      </c>
      <c r="E15" s="1">
        <f t="shared" si="0"/>
        <v>0.42</v>
      </c>
      <c r="F15" s="1">
        <f t="shared" si="0"/>
        <v>9.3375000000000004</v>
      </c>
      <c r="G15" s="1">
        <f t="shared" si="0"/>
        <v>1.2386250000000001</v>
      </c>
      <c r="H15" s="1">
        <f t="shared" si="0"/>
        <v>0.97437499999999988</v>
      </c>
      <c r="I15" s="1">
        <f t="shared" si="0"/>
        <v>15.127500000000001</v>
      </c>
      <c r="J15" s="1">
        <f t="shared" si="0"/>
        <v>180.625</v>
      </c>
      <c r="K15" s="1">
        <f t="shared" si="0"/>
        <v>1.5</v>
      </c>
      <c r="L15" s="1">
        <f t="shared" si="0"/>
        <v>1</v>
      </c>
      <c r="M15" s="1">
        <f t="shared" si="0"/>
        <v>0.86762499999999987</v>
      </c>
      <c r="N15" s="1">
        <f t="shared" si="0"/>
        <v>0.87150000000000016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0.11747766124483626</v>
      </c>
      <c r="C16" s="1">
        <f t="shared" si="1"/>
        <v>26.705346575438465</v>
      </c>
      <c r="D16" s="1">
        <f t="shared" si="1"/>
        <v>3.3886101238455524</v>
      </c>
      <c r="E16" s="1">
        <f t="shared" si="1"/>
        <v>8.8479214669726164E-2</v>
      </c>
      <c r="F16" s="1">
        <f t="shared" si="1"/>
        <v>2.4795953010809741</v>
      </c>
      <c r="G16" s="1">
        <f t="shared" si="1"/>
        <v>0.19861516090887063</v>
      </c>
      <c r="H16" s="1">
        <f t="shared" si="1"/>
        <v>0.44253359436641332</v>
      </c>
      <c r="I16" s="1">
        <f t="shared" si="1"/>
        <v>2.9744951552442251</v>
      </c>
      <c r="J16" s="1">
        <f t="shared" si="1"/>
        <v>32.997564845216772</v>
      </c>
      <c r="K16" s="1">
        <f t="shared" si="1"/>
        <v>1.8516401995451028</v>
      </c>
      <c r="L16" s="1">
        <f t="shared" si="1"/>
        <v>1.5118578920369088</v>
      </c>
      <c r="M16" s="1">
        <f t="shared" si="1"/>
        <v>0.32086531998866558</v>
      </c>
      <c r="N16" s="1">
        <f t="shared" si="1"/>
        <v>0.1025210779721475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0.35230302675584951</v>
      </c>
      <c r="D18" s="1">
        <f t="shared" si="2"/>
        <v>-0.22068118192989214</v>
      </c>
      <c r="E18" s="1">
        <f t="shared" si="2"/>
        <v>4.2409333158211653E-2</v>
      </c>
      <c r="F18" s="1">
        <f t="shared" si="2"/>
        <v>1.0390893709796534E-2</v>
      </c>
      <c r="G18" s="1">
        <f t="shared" si="2"/>
        <v>0.28222122352931911</v>
      </c>
      <c r="H18" s="1">
        <f t="shared" si="2"/>
        <v>-0.35032479659465665</v>
      </c>
      <c r="I18" s="1">
        <f t="shared" si="2"/>
        <v>-0.2592044483559765</v>
      </c>
      <c r="J18" s="1">
        <f t="shared" si="2"/>
        <v>0.26387550813854704</v>
      </c>
      <c r="K18" s="1">
        <f t="shared" si="2"/>
        <v>0.37734628545176641</v>
      </c>
      <c r="L18" s="1">
        <f t="shared" si="2"/>
        <v>-0.49820875778214624</v>
      </c>
      <c r="M18" s="1">
        <f t="shared" si="2"/>
        <v>0.1981414361534776</v>
      </c>
      <c r="N18" s="1">
        <f t="shared" si="2"/>
        <v>6.2969274941421183E-2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80.086497546821874</v>
      </c>
      <c r="D19" s="2">
        <f t="shared" si="3"/>
        <v>-6.3654866747077365</v>
      </c>
      <c r="E19" s="2">
        <f t="shared" si="3"/>
        <v>3.1940919258556195E-2</v>
      </c>
      <c r="F19" s="2">
        <f t="shared" si="3"/>
        <v>0.21932008982665946</v>
      </c>
      <c r="G19" s="2">
        <f t="shared" si="3"/>
        <v>0.47714104221357501</v>
      </c>
      <c r="H19" s="2">
        <f t="shared" si="3"/>
        <v>-1.3196593274836783</v>
      </c>
      <c r="I19" s="2">
        <f t="shared" si="3"/>
        <v>-6.5629700802925726</v>
      </c>
      <c r="J19" s="2">
        <f t="shared" si="3"/>
        <v>74.118339594106942</v>
      </c>
      <c r="K19" s="2">
        <f t="shared" si="3"/>
        <v>5.9475950056183455</v>
      </c>
      <c r="L19" s="2">
        <f t="shared" si="3"/>
        <v>-6.4116091038367564</v>
      </c>
      <c r="M19" s="2">
        <f t="shared" si="3"/>
        <v>0.54118131601120723</v>
      </c>
      <c r="N19" s="2">
        <f t="shared" si="3"/>
        <v>5.4952387353581919E-2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-414.05590770450209</v>
      </c>
      <c r="D20" s="2">
        <f t="shared" si="4"/>
        <v>43.186166835980394</v>
      </c>
      <c r="E20" s="2">
        <f t="shared" si="4"/>
        <v>0.19658788397853313</v>
      </c>
      <c r="F20" s="2">
        <f t="shared" si="4"/>
        <v>7.8034563189914588</v>
      </c>
      <c r="G20" s="2">
        <f t="shared" si="4"/>
        <v>-2.0987582800089974</v>
      </c>
      <c r="H20" s="2">
        <f t="shared" si="4"/>
        <v>10.204788201135946</v>
      </c>
      <c r="I20" s="2">
        <f t="shared" si="4"/>
        <v>61.032472901835561</v>
      </c>
      <c r="J20" s="2">
        <f t="shared" si="4"/>
        <v>-337.79887348577529</v>
      </c>
      <c r="K20" s="2">
        <f t="shared" si="4"/>
        <v>-40.100705812120886</v>
      </c>
      <c r="L20" s="2">
        <f t="shared" si="4"/>
        <v>45.846272124962624</v>
      </c>
      <c r="M20" s="2">
        <f t="shared" si="4"/>
        <v>-2.9176906943489671</v>
      </c>
      <c r="N20" s="2">
        <f t="shared" si="4"/>
        <v>0.48713319328055005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0.12411742266133279</v>
      </c>
      <c r="D21" s="2">
        <f t="shared" si="5"/>
        <v>4.8700184057974154E-2</v>
      </c>
      <c r="E21" s="2">
        <f t="shared" si="5"/>
        <v>1.7985515389241904E-3</v>
      </c>
      <c r="F21" s="2">
        <f t="shared" si="5"/>
        <v>1.0797067208828918E-4</v>
      </c>
      <c r="G21" s="2">
        <f t="shared" si="5"/>
        <v>7.9648819010385896E-2</v>
      </c>
      <c r="H21" s="2">
        <f t="shared" si="5"/>
        <v>0.12272746310908751</v>
      </c>
      <c r="I21" s="2">
        <f t="shared" si="5"/>
        <v>6.7186946047526064E-2</v>
      </c>
      <c r="J21" s="2">
        <f t="shared" si="5"/>
        <v>6.9630283795376405E-2</v>
      </c>
      <c r="K21" s="2">
        <f t="shared" si="5"/>
        <v>0.14239021914424599</v>
      </c>
      <c r="L21" s="2">
        <f t="shared" si="5"/>
        <v>0.24821196633082931</v>
      </c>
      <c r="M21" s="2">
        <f t="shared" si="5"/>
        <v>3.9260028720962639E-2</v>
      </c>
      <c r="N21" s="2">
        <f t="shared" si="5"/>
        <v>3.965129586648292E-3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22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0.92208096286791752</v>
      </c>
      <c r="D24" s="2">
        <f t="shared" si="8"/>
        <v>-0.55422003333666225</v>
      </c>
      <c r="E24" s="2">
        <f t="shared" si="8"/>
        <v>0.10397477064107465</v>
      </c>
      <c r="F24" s="2">
        <f t="shared" si="8"/>
        <v>2.5453761727470728E-2</v>
      </c>
      <c r="G24" s="2">
        <f t="shared" si="8"/>
        <v>0.72059046072324062</v>
      </c>
      <c r="H24" s="2">
        <f t="shared" si="8"/>
        <v>-0.91617668743188063</v>
      </c>
      <c r="I24" s="2">
        <f t="shared" si="8"/>
        <v>-0.65738648014046108</v>
      </c>
      <c r="J24" s="2">
        <f t="shared" si="8"/>
        <v>0.67011127469141074</v>
      </c>
      <c r="K24" s="2">
        <f t="shared" si="8"/>
        <v>0.99809261382487779</v>
      </c>
      <c r="L24" s="2">
        <f t="shared" si="8"/>
        <v>-1.4074704267157396</v>
      </c>
      <c r="M24" s="2">
        <f t="shared" si="8"/>
        <v>0.49516279055876461</v>
      </c>
      <c r="N24" s="2">
        <f t="shared" si="8"/>
        <v>0.15454930141989476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0.39205527609743063</v>
      </c>
      <c r="D25" s="2">
        <f t="shared" si="9"/>
        <v>0.59946052986337939</v>
      </c>
      <c r="E25" s="2">
        <f t="shared" si="9"/>
        <v>0.92057779309817878</v>
      </c>
      <c r="F25" s="2">
        <f t="shared" si="9"/>
        <v>0.98051847663842828</v>
      </c>
      <c r="G25" s="2">
        <f t="shared" si="9"/>
        <v>0.49826204247981476</v>
      </c>
      <c r="H25" s="2">
        <f t="shared" si="9"/>
        <v>0.39490537232290512</v>
      </c>
      <c r="I25" s="2">
        <f t="shared" si="9"/>
        <v>0.53532182677925588</v>
      </c>
      <c r="J25" s="2">
        <f t="shared" si="9"/>
        <v>0.52772081746620081</v>
      </c>
      <c r="K25" s="2">
        <f t="shared" si="9"/>
        <v>0.3567697327570421</v>
      </c>
      <c r="L25" s="2">
        <f t="shared" si="9"/>
        <v>0.20892496099255617</v>
      </c>
      <c r="M25" s="2">
        <f t="shared" si="9"/>
        <v>0.63809407832725795</v>
      </c>
      <c r="N25" s="2">
        <f t="shared" si="9"/>
        <v>0.88224433989666684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0.32757326892109884</v>
      </c>
    </row>
  </sheetData>
  <conditionalFormatting sqref="C25:N25">
    <cfRule type="cellIs" dxfId="19" priority="1" operator="lessThan">
      <formula>0.05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F750-ABA8-1546-9D65-21F56BB705D3}">
  <dimension ref="A1:V90"/>
  <sheetViews>
    <sheetView topLeftCell="A4" workbookViewId="0">
      <selection activeCell="A33" sqref="A33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58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1</v>
      </c>
      <c r="B3">
        <v>6.1378750000000011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6.3216470588235296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0</v>
      </c>
      <c r="B5">
        <v>6.2394374999999993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143.80000000000001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0.49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1.1639999999999999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0.84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14.45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0.997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0.94699999999999995</v>
      </c>
      <c r="O5" s="1"/>
      <c r="P5" s="1"/>
      <c r="T5" s="1"/>
      <c r="U5" s="1"/>
      <c r="V5" s="1"/>
    </row>
    <row r="6" spans="1:22" x14ac:dyDescent="0.2">
      <c r="A6" t="s">
        <v>20</v>
      </c>
      <c r="B6">
        <v>6.5823749999999999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173.4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-4.5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0.53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10.5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1.224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0.92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14.28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225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5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0.91200000000000003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0.89300000000000002</v>
      </c>
      <c r="O6" s="1"/>
      <c r="P6" s="1"/>
      <c r="T6" s="1"/>
      <c r="U6" s="1"/>
      <c r="V6" s="1"/>
    </row>
    <row r="7" spans="1:22" x14ac:dyDescent="0.2">
      <c r="A7" t="s">
        <v>16</v>
      </c>
      <c r="B7">
        <v>6.3166363636363636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153.19999999999999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-3.2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0.32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10.4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1.0029999999999999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0.86299999999999999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13.69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195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2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2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0.97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1.0680000000000001</v>
      </c>
      <c r="O7" s="1"/>
      <c r="P7" s="1"/>
      <c r="T7" s="1"/>
      <c r="U7" s="1"/>
      <c r="V7" s="1"/>
    </row>
    <row r="8" spans="1:22" x14ac:dyDescent="0.2">
      <c r="A8" t="s">
        <v>17</v>
      </c>
      <c r="B8">
        <v>6.3994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162.9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1.9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0.3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5.7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1.363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1.21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16.25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185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0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0.436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0.81</v>
      </c>
      <c r="O8" s="1"/>
      <c r="P8" s="1"/>
      <c r="T8" s="1"/>
      <c r="U8" s="1"/>
      <c r="V8" s="1"/>
    </row>
    <row r="9" spans="1:22" x14ac:dyDescent="0.2">
      <c r="A9" t="s">
        <v>2</v>
      </c>
      <c r="B9">
        <v>6.1529999999999996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140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4.2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0.39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5.9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0.99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1.9650000000000001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21.57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155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0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0.38700000000000001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0.77200000000000002</v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6.3320418032636905</v>
      </c>
      <c r="C15" s="1">
        <f t="shared" si="0"/>
        <v>146.11250000000001</v>
      </c>
      <c r="D15" s="1">
        <f t="shared" si="0"/>
        <v>-1.3374999999999999</v>
      </c>
      <c r="E15" s="1">
        <f t="shared" si="0"/>
        <v>0.42</v>
      </c>
      <c r="F15" s="1">
        <f t="shared" si="0"/>
        <v>9.3375000000000004</v>
      </c>
      <c r="G15" s="1">
        <f t="shared" si="0"/>
        <v>1.2386250000000001</v>
      </c>
      <c r="H15" s="1">
        <f t="shared" si="0"/>
        <v>0.97437499999999988</v>
      </c>
      <c r="I15" s="1">
        <f t="shared" si="0"/>
        <v>15.127500000000001</v>
      </c>
      <c r="J15" s="1">
        <f t="shared" si="0"/>
        <v>180.625</v>
      </c>
      <c r="K15" s="1">
        <f t="shared" si="0"/>
        <v>1.5</v>
      </c>
      <c r="L15" s="1">
        <f t="shared" si="0"/>
        <v>1</v>
      </c>
      <c r="M15" s="1">
        <f t="shared" si="0"/>
        <v>0.86762499999999987</v>
      </c>
      <c r="N15" s="1">
        <f t="shared" si="0"/>
        <v>0.87150000000000016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0.15862365342961987</v>
      </c>
      <c r="C16" s="1">
        <f t="shared" si="1"/>
        <v>26.705346575438465</v>
      </c>
      <c r="D16" s="1">
        <f t="shared" si="1"/>
        <v>3.3886101238455524</v>
      </c>
      <c r="E16" s="1">
        <f t="shared" si="1"/>
        <v>8.8479214669726164E-2</v>
      </c>
      <c r="F16" s="1">
        <f t="shared" si="1"/>
        <v>2.4795953010809741</v>
      </c>
      <c r="G16" s="1">
        <f t="shared" si="1"/>
        <v>0.19861516090887063</v>
      </c>
      <c r="H16" s="1">
        <f t="shared" si="1"/>
        <v>0.44253359436641332</v>
      </c>
      <c r="I16" s="1">
        <f t="shared" si="1"/>
        <v>2.9744951552442251</v>
      </c>
      <c r="J16" s="1">
        <f t="shared" si="1"/>
        <v>32.997564845216772</v>
      </c>
      <c r="K16" s="1">
        <f t="shared" si="1"/>
        <v>1.8516401995451028</v>
      </c>
      <c r="L16" s="1">
        <f t="shared" si="1"/>
        <v>1.5118578920369088</v>
      </c>
      <c r="M16" s="1">
        <f t="shared" si="1"/>
        <v>0.32086531998866558</v>
      </c>
      <c r="N16" s="1">
        <f t="shared" si="1"/>
        <v>0.1025210779721475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0.82013952516943356</v>
      </c>
      <c r="D18" s="1">
        <f t="shared" si="2"/>
        <v>-0.62948431692793605</v>
      </c>
      <c r="E18" s="1">
        <f t="shared" si="2"/>
        <v>0.40101755478345724</v>
      </c>
      <c r="F18" s="1">
        <f t="shared" si="2"/>
        <v>0.39525570628059892</v>
      </c>
      <c r="G18" s="1">
        <f t="shared" si="2"/>
        <v>-1.4461295227232803E-2</v>
      </c>
      <c r="H18" s="1">
        <f t="shared" si="2"/>
        <v>-0.30374055266208316</v>
      </c>
      <c r="I18" s="1">
        <f t="shared" si="2"/>
        <v>-0.1160540372079225</v>
      </c>
      <c r="J18" s="1">
        <f t="shared" si="2"/>
        <v>0.86906750208535422</v>
      </c>
      <c r="K18" s="1">
        <f t="shared" si="2"/>
        <v>0.75749682285243525</v>
      </c>
      <c r="L18" s="1">
        <f t="shared" si="2"/>
        <v>-0.15344979360864433</v>
      </c>
      <c r="M18" s="1">
        <f t="shared" si="2"/>
        <v>0.40028358216333321</v>
      </c>
      <c r="N18" s="1">
        <f t="shared" si="2"/>
        <v>0.20944228630875056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138.07594130079158</v>
      </c>
      <c r="D19" s="2">
        <f t="shared" si="3"/>
        <v>-13.44740764081844</v>
      </c>
      <c r="E19" s="2">
        <f t="shared" si="3"/>
        <v>0.22368491425370571</v>
      </c>
      <c r="F19" s="2">
        <f t="shared" si="3"/>
        <v>6.1786131565407878</v>
      </c>
      <c r="G19" s="2">
        <f t="shared" si="3"/>
        <v>-1.8107214254663065E-2</v>
      </c>
      <c r="H19" s="2">
        <f t="shared" si="3"/>
        <v>-0.84738559236395095</v>
      </c>
      <c r="I19" s="2">
        <f t="shared" si="3"/>
        <v>-2.176233896760317</v>
      </c>
      <c r="J19" s="2">
        <f t="shared" si="3"/>
        <v>180.78710605197261</v>
      </c>
      <c r="K19" s="2">
        <f t="shared" si="3"/>
        <v>8.842385973940468</v>
      </c>
      <c r="L19" s="2">
        <f t="shared" si="3"/>
        <v>-1.4625453170614171</v>
      </c>
      <c r="M19" s="2">
        <f t="shared" si="3"/>
        <v>0.80969714730491749</v>
      </c>
      <c r="N19" s="2">
        <f t="shared" si="3"/>
        <v>0.13536599681743947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-728.1901323415957</v>
      </c>
      <c r="D20" s="2">
        <f t="shared" si="4"/>
        <v>83.812047327189916</v>
      </c>
      <c r="E20" s="2">
        <f t="shared" si="4"/>
        <v>-0.99638222781391872</v>
      </c>
      <c r="F20" s="2">
        <f t="shared" si="4"/>
        <v>-29.785736793411296</v>
      </c>
      <c r="G20" s="2">
        <f t="shared" si="4"/>
        <v>1.3532806376011788</v>
      </c>
      <c r="H20" s="2">
        <f t="shared" si="4"/>
        <v>6.3400559943319026</v>
      </c>
      <c r="I20" s="2">
        <f t="shared" si="4"/>
        <v>28.907504007965766</v>
      </c>
      <c r="J20" s="2">
        <f t="shared" si="4"/>
        <v>-964.12651301215669</v>
      </c>
      <c r="K20" s="2">
        <f t="shared" si="4"/>
        <v>-54.490357627583563</v>
      </c>
      <c r="L20" s="2">
        <f t="shared" si="4"/>
        <v>10.260898086800442</v>
      </c>
      <c r="M20" s="2">
        <f t="shared" si="4"/>
        <v>-4.2594111847180951</v>
      </c>
      <c r="N20" s="2">
        <f t="shared" si="4"/>
        <v>1.4356849411513828E-2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0.67262884074514395</v>
      </c>
      <c r="D21" s="2">
        <f t="shared" si="5"/>
        <v>0.39625050525823036</v>
      </c>
      <c r="E21" s="2">
        <f t="shared" si="5"/>
        <v>0.16081507924450308</v>
      </c>
      <c r="F21" s="2">
        <f t="shared" si="5"/>
        <v>0.15622707334737512</v>
      </c>
      <c r="G21" s="2">
        <f t="shared" si="5"/>
        <v>2.0912905964918618E-4</v>
      </c>
      <c r="H21" s="2">
        <f t="shared" si="5"/>
        <v>9.2258323331467745E-2</v>
      </c>
      <c r="I21" s="2">
        <f t="shared" si="5"/>
        <v>1.3468539552257856E-2</v>
      </c>
      <c r="J21" s="2">
        <f t="shared" si="5"/>
        <v>0.75527832318087718</v>
      </c>
      <c r="K21" s="2">
        <f t="shared" si="5"/>
        <v>0.57380143663153349</v>
      </c>
      <c r="L21" s="2">
        <f t="shared" si="5"/>
        <v>2.3546839158535549E-2</v>
      </c>
      <c r="M21" s="2">
        <f t="shared" si="5"/>
        <v>0.16022694614950997</v>
      </c>
      <c r="N21" s="2">
        <f t="shared" si="5"/>
        <v>4.3866071294236642E-2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22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3.5110996820711291</v>
      </c>
      <c r="D24" s="2">
        <f t="shared" si="8"/>
        <v>-1.984413393285726</v>
      </c>
      <c r="E24" s="2">
        <f t="shared" si="8"/>
        <v>1.0722848598518948</v>
      </c>
      <c r="F24" s="2">
        <f t="shared" si="8"/>
        <v>1.0540008970159487</v>
      </c>
      <c r="G24" s="2">
        <f t="shared" si="8"/>
        <v>-3.5426498875356635E-2</v>
      </c>
      <c r="H24" s="2">
        <f t="shared" si="8"/>
        <v>-0.78090331471580643</v>
      </c>
      <c r="I24" s="2">
        <f t="shared" si="8"/>
        <v>-0.28620710347328909</v>
      </c>
      <c r="J24" s="2">
        <f t="shared" si="8"/>
        <v>4.3032137159495232</v>
      </c>
      <c r="K24" s="2">
        <f t="shared" si="8"/>
        <v>2.8421726116536958</v>
      </c>
      <c r="L24" s="2">
        <f t="shared" si="8"/>
        <v>-0.38037873170494318</v>
      </c>
      <c r="M24" s="2">
        <f t="shared" si="8"/>
        <v>1.0699474186053046</v>
      </c>
      <c r="N24" s="2">
        <f t="shared" si="8"/>
        <v>0.52466323230362344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1.2654501994640202E-2</v>
      </c>
      <c r="D25" s="2">
        <f t="shared" si="9"/>
        <v>9.4444450827140147E-2</v>
      </c>
      <c r="E25" s="2">
        <f t="shared" si="9"/>
        <v>0.3248150803318669</v>
      </c>
      <c r="F25" s="2">
        <f t="shared" si="9"/>
        <v>0.33246499128758772</v>
      </c>
      <c r="G25" s="2">
        <f t="shared" si="9"/>
        <v>0.97288885155810467</v>
      </c>
      <c r="H25" s="2">
        <f t="shared" si="9"/>
        <v>0.46454521232334978</v>
      </c>
      <c r="I25" s="2">
        <f t="shared" si="9"/>
        <v>0.78434463357939177</v>
      </c>
      <c r="J25" s="2">
        <f t="shared" si="9"/>
        <v>5.0749239245539814E-3</v>
      </c>
      <c r="K25" s="2">
        <f t="shared" si="9"/>
        <v>2.9482770732752722E-2</v>
      </c>
      <c r="L25" s="2">
        <f t="shared" si="9"/>
        <v>0.71676630369664929</v>
      </c>
      <c r="M25" s="2">
        <f t="shared" si="9"/>
        <v>0.32578492214047133</v>
      </c>
      <c r="N25" s="2">
        <f t="shared" si="9"/>
        <v>0.6186288451525459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0.44449999999999878</v>
      </c>
    </row>
    <row r="64" spans="2:2" x14ac:dyDescent="0.2">
      <c r="B64" t="s">
        <v>83</v>
      </c>
    </row>
    <row r="65" spans="2:10" x14ac:dyDescent="0.2">
      <c r="C65" t="s">
        <v>9</v>
      </c>
      <c r="D65" t="s">
        <v>50</v>
      </c>
      <c r="E65" t="s">
        <v>70</v>
      </c>
    </row>
    <row r="66" spans="2:10" x14ac:dyDescent="0.2">
      <c r="B66" t="s">
        <v>84</v>
      </c>
      <c r="C66" t="s">
        <v>22</v>
      </c>
      <c r="D66" t="s">
        <v>22</v>
      </c>
      <c r="E66" t="s">
        <v>20</v>
      </c>
    </row>
    <row r="67" spans="2:10" x14ac:dyDescent="0.2">
      <c r="B67" t="s">
        <v>85</v>
      </c>
      <c r="C67" t="s">
        <v>21</v>
      </c>
      <c r="D67" t="s">
        <v>21</v>
      </c>
      <c r="E67" t="s">
        <v>6</v>
      </c>
      <c r="I67" s="6"/>
    </row>
    <row r="68" spans="2:10" x14ac:dyDescent="0.2">
      <c r="B68" t="s">
        <v>86</v>
      </c>
      <c r="C68" t="s">
        <v>3</v>
      </c>
      <c r="D68" t="s">
        <v>20</v>
      </c>
      <c r="E68" t="s">
        <v>14</v>
      </c>
      <c r="I68" s="6"/>
    </row>
    <row r="69" spans="2:10" x14ac:dyDescent="0.2">
      <c r="B69" t="s">
        <v>87</v>
      </c>
      <c r="C69" t="s">
        <v>20</v>
      </c>
      <c r="D69" t="s">
        <v>3</v>
      </c>
      <c r="E69" t="s">
        <v>0</v>
      </c>
      <c r="I69" s="6"/>
    </row>
    <row r="70" spans="2:10" x14ac:dyDescent="0.2">
      <c r="B70" t="s">
        <v>88</v>
      </c>
      <c r="C70" t="s">
        <v>6</v>
      </c>
      <c r="D70" t="s">
        <v>6</v>
      </c>
      <c r="E70" t="s">
        <v>16</v>
      </c>
      <c r="I70" s="6"/>
    </row>
    <row r="71" spans="2:10" x14ac:dyDescent="0.2">
      <c r="J71" s="1"/>
    </row>
    <row r="72" spans="2:10" x14ac:dyDescent="0.2">
      <c r="J72" s="1"/>
    </row>
    <row r="73" spans="2:10" x14ac:dyDescent="0.2">
      <c r="J73" s="1"/>
    </row>
    <row r="74" spans="2:10" x14ac:dyDescent="0.2">
      <c r="J74" s="1"/>
    </row>
    <row r="75" spans="2:10" x14ac:dyDescent="0.2">
      <c r="J75" s="1"/>
    </row>
    <row r="76" spans="2:10" x14ac:dyDescent="0.2">
      <c r="J76" s="1"/>
    </row>
    <row r="77" spans="2:10" x14ac:dyDescent="0.2">
      <c r="J77" s="1"/>
    </row>
    <row r="78" spans="2:10" x14ac:dyDescent="0.2">
      <c r="J78" s="1"/>
    </row>
    <row r="79" spans="2:10" x14ac:dyDescent="0.2">
      <c r="J79" s="1"/>
    </row>
    <row r="80" spans="2:10" x14ac:dyDescent="0.2">
      <c r="J80" s="1"/>
    </row>
    <row r="81" spans="10:10" x14ac:dyDescent="0.2">
      <c r="J81" s="1"/>
    </row>
    <row r="82" spans="10:10" x14ac:dyDescent="0.2">
      <c r="J82" s="1"/>
    </row>
    <row r="83" spans="10:10" x14ac:dyDescent="0.2">
      <c r="J83" s="1"/>
    </row>
    <row r="84" spans="10:10" x14ac:dyDescent="0.2">
      <c r="J84" s="1"/>
    </row>
    <row r="85" spans="10:10" x14ac:dyDescent="0.2">
      <c r="J85" s="1"/>
    </row>
    <row r="86" spans="10:10" x14ac:dyDescent="0.2">
      <c r="J86" s="1"/>
    </row>
    <row r="87" spans="10:10" x14ac:dyDescent="0.2">
      <c r="J87" s="1"/>
    </row>
    <row r="88" spans="10:10" x14ac:dyDescent="0.2">
      <c r="J88" s="1"/>
    </row>
    <row r="89" spans="10:10" x14ac:dyDescent="0.2">
      <c r="J89" s="1"/>
    </row>
    <row r="90" spans="10:10" x14ac:dyDescent="0.2">
      <c r="J90" s="1"/>
    </row>
  </sheetData>
  <sortState xmlns:xlrd2="http://schemas.microsoft.com/office/spreadsheetml/2017/richdata2" ref="I71:J90">
    <sortCondition descending="1" ref="J71:J90"/>
  </sortState>
  <conditionalFormatting sqref="C25:N25">
    <cfRule type="cellIs" dxfId="18" priority="1" operator="lessThan">
      <formula>0.05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7B94-E295-B84D-A33C-DDB3B7A38A44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64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16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153.19999999999999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-3.2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0.32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10.4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1.0029999999999999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0.86299999999999999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13.69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195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2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2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0.97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1.0680000000000001</v>
      </c>
      <c r="O2" s="1"/>
      <c r="P2" s="1"/>
    </row>
    <row r="3" spans="1:22" x14ac:dyDescent="0.2">
      <c r="A3" t="s">
        <v>1</v>
      </c>
      <c r="B3">
        <v>6.9824285714285717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6.9478823529411784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3</v>
      </c>
      <c r="B5">
        <v>7.08575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189.9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2.8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0.31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5.2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1.1950000000000001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1.393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19.8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210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0.624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0.79700000000000004</v>
      </c>
      <c r="O5" s="1"/>
      <c r="P5" s="1"/>
      <c r="T5" s="1"/>
      <c r="U5" s="1"/>
      <c r="V5" s="1"/>
    </row>
    <row r="6" spans="1:22" x14ac:dyDescent="0.2">
      <c r="A6" t="s">
        <v>6</v>
      </c>
      <c r="B6">
        <v>6.9084999999999992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168.6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0.47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11.3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1.1719999999999999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0.72099999999999997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15.71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200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3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1.302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0.89700000000000002</v>
      </c>
      <c r="O6" s="1"/>
      <c r="P6" s="1"/>
      <c r="T6" s="1"/>
      <c r="U6" s="1"/>
      <c r="V6" s="1"/>
    </row>
    <row r="7" spans="1:22" x14ac:dyDescent="0.2">
      <c r="A7" t="s">
        <v>17</v>
      </c>
      <c r="B7">
        <v>7.1223333333333336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162.9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1.9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5.7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1.363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1.21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16.25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185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0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0.436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0.81</v>
      </c>
      <c r="O7" s="1"/>
      <c r="P7" s="1"/>
      <c r="T7" s="1"/>
      <c r="U7" s="1"/>
      <c r="V7" s="1"/>
    </row>
    <row r="8" spans="1:22" x14ac:dyDescent="0.2">
      <c r="A8" t="s">
        <v>14</v>
      </c>
      <c r="B8">
        <v>7.0074444444444435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114.1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-3.2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0.46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11.6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0.77200000000000002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0.60399999999999998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12.82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160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2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2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1.5720000000000001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1.167</v>
      </c>
      <c r="O8" s="1"/>
      <c r="P8" s="1"/>
      <c r="T8" s="1"/>
      <c r="U8" s="1"/>
      <c r="V8" s="1"/>
    </row>
    <row r="9" spans="1:22" x14ac:dyDescent="0.2">
      <c r="A9" t="s">
        <v>2</v>
      </c>
      <c r="B9">
        <v>6.8456666666666663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140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4.2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0.39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5.9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0.99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1.9650000000000001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21.57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155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0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0.38700000000000001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0.77200000000000002</v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7.0068386340647377</v>
      </c>
      <c r="C15" s="1">
        <f t="shared" si="0"/>
        <v>144.46250000000001</v>
      </c>
      <c r="D15" s="1">
        <f t="shared" si="0"/>
        <v>-0.38749999999999996</v>
      </c>
      <c r="E15" s="1">
        <f t="shared" si="0"/>
        <v>0.38874999999999998</v>
      </c>
      <c r="F15" s="1">
        <f t="shared" si="0"/>
        <v>8.8125</v>
      </c>
      <c r="G15" s="1">
        <f t="shared" si="0"/>
        <v>1.1859999999999999</v>
      </c>
      <c r="H15" s="1">
        <f t="shared" si="0"/>
        <v>1.004</v>
      </c>
      <c r="I15" s="1">
        <f t="shared" si="0"/>
        <v>15.61375</v>
      </c>
      <c r="J15" s="1">
        <f t="shared" si="0"/>
        <v>176.25</v>
      </c>
      <c r="K15" s="1">
        <f t="shared" si="0"/>
        <v>0.875</v>
      </c>
      <c r="L15" s="1">
        <f t="shared" si="0"/>
        <v>1</v>
      </c>
      <c r="M15" s="1">
        <f t="shared" si="0"/>
        <v>0.90349999999999997</v>
      </c>
      <c r="N15" s="1">
        <f t="shared" si="0"/>
        <v>0.88700000000000001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0.10766950710721279</v>
      </c>
      <c r="C16" s="1">
        <f t="shared" si="1"/>
        <v>31.988030685599494</v>
      </c>
      <c r="D16" s="1">
        <f t="shared" si="1"/>
        <v>3.360883174745251</v>
      </c>
      <c r="E16" s="1">
        <f t="shared" si="1"/>
        <v>7.9000452078272582E-2</v>
      </c>
      <c r="F16" s="1">
        <f t="shared" si="1"/>
        <v>2.9366830170886944</v>
      </c>
      <c r="G16" s="1">
        <f t="shared" si="1"/>
        <v>0.25852327886340437</v>
      </c>
      <c r="H16" s="1">
        <f t="shared" si="1"/>
        <v>0.48627476066226494</v>
      </c>
      <c r="I16" s="1">
        <f t="shared" si="1"/>
        <v>3.50553414515637</v>
      </c>
      <c r="J16" s="1">
        <f t="shared" si="1"/>
        <v>31.139088893910451</v>
      </c>
      <c r="K16" s="1">
        <f t="shared" si="1"/>
        <v>1.2464234547582249</v>
      </c>
      <c r="L16" s="1">
        <f t="shared" si="1"/>
        <v>1.5118578920369088</v>
      </c>
      <c r="M16" s="1">
        <f t="shared" si="1"/>
        <v>0.42209951433281695</v>
      </c>
      <c r="N16" s="1">
        <f t="shared" si="1"/>
        <v>0.15040896629808062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0.29263642686453439</v>
      </c>
      <c r="D18" s="1">
        <f t="shared" si="2"/>
        <v>-6.5418219922565884E-2</v>
      </c>
      <c r="E18" s="1">
        <f t="shared" si="2"/>
        <v>-0.68247368285459931</v>
      </c>
      <c r="F18" s="1">
        <f t="shared" si="2"/>
        <v>-0.1678649361328407</v>
      </c>
      <c r="G18" s="1">
        <f t="shared" si="2"/>
        <v>3.4116819327890111E-3</v>
      </c>
      <c r="H18" s="1">
        <f t="shared" si="2"/>
        <v>-0.16560611472043835</v>
      </c>
      <c r="I18" s="1">
        <f t="shared" si="2"/>
        <v>-0.23877398876151998</v>
      </c>
      <c r="J18" s="1">
        <f t="shared" si="2"/>
        <v>0.34983393962468068</v>
      </c>
      <c r="K18" s="1">
        <f t="shared" si="2"/>
        <v>2.0500660276328961E-3</v>
      </c>
      <c r="L18" s="1">
        <f t="shared" si="2"/>
        <v>5.3636163027449842E-2</v>
      </c>
      <c r="M18" s="1">
        <f t="shared" si="2"/>
        <v>-0.1050150577038617</v>
      </c>
      <c r="N18" s="1">
        <f t="shared" si="2"/>
        <v>0.33041111156851227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86.940706368663626</v>
      </c>
      <c r="D19" s="2">
        <f t="shared" si="3"/>
        <v>-2.042017285735374</v>
      </c>
      <c r="E19" s="2">
        <f t="shared" si="3"/>
        <v>-0.50075207851885017</v>
      </c>
      <c r="F19" s="2">
        <f t="shared" si="3"/>
        <v>-4.5785117843542862</v>
      </c>
      <c r="G19" s="2">
        <f t="shared" si="3"/>
        <v>8.1917269187960079E-3</v>
      </c>
      <c r="H19" s="2">
        <f t="shared" si="3"/>
        <v>-0.74793760985364444</v>
      </c>
      <c r="I19" s="2">
        <f t="shared" si="3"/>
        <v>-7.7740707937411644</v>
      </c>
      <c r="J19" s="2">
        <f t="shared" si="3"/>
        <v>101.17544360291842</v>
      </c>
      <c r="K19" s="2">
        <f t="shared" si="3"/>
        <v>2.3732349569504887E-2</v>
      </c>
      <c r="L19" s="2">
        <f t="shared" si="3"/>
        <v>0.75314040669733939</v>
      </c>
      <c r="M19" s="2">
        <f t="shared" si="3"/>
        <v>-0.41169320864721709</v>
      </c>
      <c r="N19" s="2">
        <f t="shared" si="3"/>
        <v>0.46156795066344752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-464.71700025683049</v>
      </c>
      <c r="D20" s="2">
        <f t="shared" si="4"/>
        <v>13.920585609118632</v>
      </c>
      <c r="E20" s="2">
        <f t="shared" si="4"/>
        <v>3.8974390098540983</v>
      </c>
      <c r="F20" s="2">
        <f t="shared" si="4"/>
        <v>40.893393257134292</v>
      </c>
      <c r="G20" s="2">
        <f t="shared" si="4"/>
        <v>1.1286018913456719</v>
      </c>
      <c r="H20" s="2">
        <f t="shared" si="4"/>
        <v>6.2446781405925549</v>
      </c>
      <c r="I20" s="2">
        <f t="shared" si="4"/>
        <v>70.085409581539906</v>
      </c>
      <c r="J20" s="2">
        <f t="shared" si="4"/>
        <v>-532.67000705556677</v>
      </c>
      <c r="K20" s="2">
        <f t="shared" si="4"/>
        <v>0.70871125615926345</v>
      </c>
      <c r="L20" s="2">
        <f t="shared" si="4"/>
        <v>-4.2771332985221466</v>
      </c>
      <c r="M20" s="2">
        <f t="shared" si="4"/>
        <v>3.7881678797313958</v>
      </c>
      <c r="N20" s="2">
        <f t="shared" si="4"/>
        <v>-2.347132148954731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8.5636078328041959E-2</v>
      </c>
      <c r="D21" s="2">
        <f t="shared" si="5"/>
        <v>4.2795434978371944E-3</v>
      </c>
      <c r="E21" s="2">
        <f t="shared" si="5"/>
        <v>0.46577032778912003</v>
      </c>
      <c r="F21" s="2">
        <f t="shared" si="5"/>
        <v>2.8178636782882696E-2</v>
      </c>
      <c r="G21" s="2">
        <f t="shared" si="5"/>
        <v>1.1639573610518957E-5</v>
      </c>
      <c r="H21" s="2">
        <f t="shared" si="5"/>
        <v>2.7425385232798985E-2</v>
      </c>
      <c r="I21" s="2">
        <f t="shared" si="5"/>
        <v>5.7013017709086455E-2</v>
      </c>
      <c r="J21" s="2">
        <f t="shared" si="5"/>
        <v>0.12238378531332468</v>
      </c>
      <c r="K21" s="2">
        <f t="shared" si="5"/>
        <v>4.202770717654522E-6</v>
      </c>
      <c r="L21" s="2">
        <f t="shared" si="5"/>
        <v>2.876837984307178E-3</v>
      </c>
      <c r="M21" s="2">
        <f t="shared" si="5"/>
        <v>1.10281623445454E-2</v>
      </c>
      <c r="N21" s="2">
        <f t="shared" si="5"/>
        <v>0.10917150264793983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22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0.74962570404764828</v>
      </c>
      <c r="D24" s="2">
        <f t="shared" si="8"/>
        <v>-0.16058524287586651</v>
      </c>
      <c r="E24" s="2">
        <f t="shared" si="8"/>
        <v>-2.2871651830398996</v>
      </c>
      <c r="F24" s="2">
        <f t="shared" si="8"/>
        <v>-0.41710211676154552</v>
      </c>
      <c r="G24" s="2">
        <f t="shared" si="8"/>
        <v>8.3569285356893189E-3</v>
      </c>
      <c r="H24" s="2">
        <f t="shared" si="8"/>
        <v>-0.41133013547375058</v>
      </c>
      <c r="I24" s="2">
        <f t="shared" si="8"/>
        <v>-0.6022957392681173</v>
      </c>
      <c r="J24" s="2">
        <f t="shared" si="8"/>
        <v>0.91471383278342222</v>
      </c>
      <c r="K24" s="2">
        <f t="shared" si="8"/>
        <v>5.0216262590980203E-3</v>
      </c>
      <c r="L24" s="2">
        <f t="shared" si="8"/>
        <v>0.13157062116746582</v>
      </c>
      <c r="M24" s="2">
        <f t="shared" si="8"/>
        <v>-0.25866355268755586</v>
      </c>
      <c r="N24" s="2">
        <f t="shared" si="8"/>
        <v>0.85749820267792398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0.481827221970759</v>
      </c>
      <c r="D25" s="2">
        <f t="shared" si="9"/>
        <v>0.87769033850426315</v>
      </c>
      <c r="E25" s="2">
        <f t="shared" si="9"/>
        <v>6.2185381669413245E-2</v>
      </c>
      <c r="F25" s="2">
        <f t="shared" si="9"/>
        <v>0.69111601705685888</v>
      </c>
      <c r="G25" s="2">
        <f t="shared" si="9"/>
        <v>0.99360314601400102</v>
      </c>
      <c r="H25" s="2">
        <f t="shared" si="9"/>
        <v>0.69511908891687701</v>
      </c>
      <c r="I25" s="2">
        <f t="shared" si="9"/>
        <v>0.56902425398117007</v>
      </c>
      <c r="J25" s="2">
        <f t="shared" si="9"/>
        <v>0.395613963056618</v>
      </c>
      <c r="K25" s="2">
        <f t="shared" si="9"/>
        <v>0.99615613696812155</v>
      </c>
      <c r="L25" s="2">
        <f t="shared" si="9"/>
        <v>0.89962490604865386</v>
      </c>
      <c r="M25" s="2">
        <f t="shared" si="9"/>
        <v>0.80453963119787808</v>
      </c>
      <c r="N25" s="2">
        <f t="shared" si="9"/>
        <v>0.42409177120870156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0.309037037037041</v>
      </c>
    </row>
  </sheetData>
  <conditionalFormatting sqref="C25:N25">
    <cfRule type="cellIs" dxfId="17" priority="1" operator="lessThan">
      <formula>0.05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AD8-3648-054A-BF87-A32E4808079A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64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16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153.19999999999999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-3.2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0.32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10.4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1.0029999999999999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0.86299999999999999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13.69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195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2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2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0.97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1.0680000000000001</v>
      </c>
      <c r="O2" s="1"/>
      <c r="P2" s="1"/>
    </row>
    <row r="3" spans="1:22" x14ac:dyDescent="0.2">
      <c r="A3" t="s">
        <v>1</v>
      </c>
      <c r="B3">
        <v>6.2951428571428574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6.1662499999999998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3</v>
      </c>
      <c r="B5">
        <v>6.2555000000000005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189.9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2.8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0.31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5.2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1.1950000000000001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1.393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19.8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210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0.624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0.79700000000000004</v>
      </c>
      <c r="O5" s="1"/>
      <c r="P5" s="1"/>
      <c r="T5" s="1"/>
      <c r="U5" s="1"/>
      <c r="V5" s="1"/>
    </row>
    <row r="6" spans="1:22" x14ac:dyDescent="0.2">
      <c r="A6" t="s">
        <v>6</v>
      </c>
      <c r="B6">
        <v>5.8172499999999996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168.6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0.47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11.3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1.1719999999999999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0.72099999999999997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15.71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200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3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1.302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0.89700000000000002</v>
      </c>
      <c r="O6" s="1"/>
      <c r="P6" s="1"/>
      <c r="T6" s="1"/>
      <c r="U6" s="1"/>
      <c r="V6" s="1"/>
    </row>
    <row r="7" spans="1:22" x14ac:dyDescent="0.2">
      <c r="A7" t="s">
        <v>17</v>
      </c>
      <c r="B7">
        <v>6.3860000000000001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162.9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1.9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5.7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1.363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1.21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16.25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185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0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0.436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0.81</v>
      </c>
      <c r="O7" s="1"/>
      <c r="P7" s="1"/>
      <c r="T7" s="1"/>
      <c r="U7" s="1"/>
      <c r="V7" s="1"/>
    </row>
    <row r="8" spans="1:22" x14ac:dyDescent="0.2">
      <c r="A8" t="s">
        <v>14</v>
      </c>
      <c r="B8">
        <v>6.3182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114.1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-3.2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0.46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11.6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0.77200000000000002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0.60399999999999998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12.82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160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2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2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1.5720000000000001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1.167</v>
      </c>
      <c r="O8" s="1"/>
      <c r="P8" s="1"/>
      <c r="T8" s="1"/>
      <c r="U8" s="1"/>
      <c r="V8" s="1"/>
    </row>
    <row r="9" spans="1:22" x14ac:dyDescent="0.2">
      <c r="A9" t="s">
        <v>2</v>
      </c>
      <c r="B9">
        <v>6.0257500000000004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140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4.2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0.39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5.9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0.99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1.9650000000000001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21.57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155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0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0.38700000000000001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0.77200000000000002</v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6.2212570450990619</v>
      </c>
      <c r="C15" s="1">
        <f t="shared" si="0"/>
        <v>144.46250000000001</v>
      </c>
      <c r="D15" s="1">
        <f t="shared" si="0"/>
        <v>-0.38749999999999996</v>
      </c>
      <c r="E15" s="1">
        <f t="shared" si="0"/>
        <v>0.38874999999999998</v>
      </c>
      <c r="F15" s="1">
        <f t="shared" si="0"/>
        <v>8.8125</v>
      </c>
      <c r="G15" s="1">
        <f t="shared" si="0"/>
        <v>1.1859999999999999</v>
      </c>
      <c r="H15" s="1">
        <f t="shared" si="0"/>
        <v>1.004</v>
      </c>
      <c r="I15" s="1">
        <f t="shared" si="0"/>
        <v>15.61375</v>
      </c>
      <c r="J15" s="1">
        <f t="shared" si="0"/>
        <v>176.25</v>
      </c>
      <c r="K15" s="1">
        <f t="shared" si="0"/>
        <v>0.875</v>
      </c>
      <c r="L15" s="1">
        <f t="shared" si="0"/>
        <v>1</v>
      </c>
      <c r="M15" s="1">
        <f t="shared" si="0"/>
        <v>0.90349999999999997</v>
      </c>
      <c r="N15" s="1">
        <f t="shared" si="0"/>
        <v>0.88700000000000001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0.21669534591881312</v>
      </c>
      <c r="C16" s="1">
        <f t="shared" si="1"/>
        <v>31.988030685599494</v>
      </c>
      <c r="D16" s="1">
        <f t="shared" si="1"/>
        <v>3.360883174745251</v>
      </c>
      <c r="E16" s="1">
        <f t="shared" si="1"/>
        <v>7.9000452078272582E-2</v>
      </c>
      <c r="F16" s="1">
        <f t="shared" si="1"/>
        <v>2.9366830170886944</v>
      </c>
      <c r="G16" s="1">
        <f t="shared" si="1"/>
        <v>0.25852327886340437</v>
      </c>
      <c r="H16" s="1">
        <f t="shared" si="1"/>
        <v>0.48627476066226494</v>
      </c>
      <c r="I16" s="1">
        <f t="shared" si="1"/>
        <v>3.50553414515637</v>
      </c>
      <c r="J16" s="1">
        <f t="shared" si="1"/>
        <v>31.139088893910451</v>
      </c>
      <c r="K16" s="1">
        <f t="shared" si="1"/>
        <v>1.2464234547582249</v>
      </c>
      <c r="L16" s="1">
        <f t="shared" si="1"/>
        <v>1.5118578920369088</v>
      </c>
      <c r="M16" s="1">
        <f t="shared" si="1"/>
        <v>0.42209951433281695</v>
      </c>
      <c r="N16" s="1">
        <f t="shared" si="1"/>
        <v>0.15040896629808062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-0.17591507356598257</v>
      </c>
      <c r="D18" s="1">
        <f t="shared" si="2"/>
        <v>5.2497062728350224E-2</v>
      </c>
      <c r="E18" s="1">
        <f t="shared" si="2"/>
        <v>-0.59497412534853744</v>
      </c>
      <c r="F18" s="1">
        <f t="shared" si="2"/>
        <v>-0.13341368380748111</v>
      </c>
      <c r="G18" s="1">
        <f t="shared" si="2"/>
        <v>-3.5439228698686043E-2</v>
      </c>
      <c r="H18" s="1">
        <f t="shared" si="2"/>
        <v>-0.13959835237047888</v>
      </c>
      <c r="I18" s="1">
        <f t="shared" si="2"/>
        <v>-0.36959068230737968</v>
      </c>
      <c r="J18" s="1">
        <f t="shared" si="2"/>
        <v>-9.2356858647033385E-2</v>
      </c>
      <c r="K18" s="1">
        <f t="shared" si="2"/>
        <v>-0.23733644041883833</v>
      </c>
      <c r="L18" s="1">
        <f t="shared" si="2"/>
        <v>0.23689595493809937</v>
      </c>
      <c r="M18" s="1">
        <f t="shared" si="2"/>
        <v>-0.13260731310776572</v>
      </c>
      <c r="N18" s="1">
        <f t="shared" si="2"/>
        <v>0.36654821490228739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-25.968147804136144</v>
      </c>
      <c r="D19" s="2">
        <f t="shared" si="3"/>
        <v>0.8142145097724518</v>
      </c>
      <c r="E19" s="2">
        <f t="shared" si="3"/>
        <v>-0.21690924961083108</v>
      </c>
      <c r="F19" s="2">
        <f t="shared" si="3"/>
        <v>-1.8080392904767761</v>
      </c>
      <c r="G19" s="2">
        <f t="shared" si="3"/>
        <v>-4.227993713813754E-2</v>
      </c>
      <c r="H19" s="2">
        <f t="shared" si="3"/>
        <v>-0.31326540540115777</v>
      </c>
      <c r="I19" s="2">
        <f t="shared" si="3"/>
        <v>-5.9789597744548226</v>
      </c>
      <c r="J19" s="2">
        <f t="shared" si="3"/>
        <v>-13.271666814892185</v>
      </c>
      <c r="K19" s="2">
        <f t="shared" si="3"/>
        <v>-1.3651502516242338</v>
      </c>
      <c r="L19" s="2">
        <f t="shared" si="3"/>
        <v>1.6527951606259728</v>
      </c>
      <c r="M19" s="2">
        <f t="shared" si="3"/>
        <v>-0.25830495907714918</v>
      </c>
      <c r="N19" s="2">
        <f t="shared" si="3"/>
        <v>0.25442234519663148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306.01702247465573</v>
      </c>
      <c r="D20" s="2">
        <f t="shared" si="4"/>
        <v>-5.4529377551437452</v>
      </c>
      <c r="E20" s="2">
        <f t="shared" si="4"/>
        <v>1.7381981972885336</v>
      </c>
      <c r="F20" s="2">
        <f t="shared" si="4"/>
        <v>20.060777173694554</v>
      </c>
      <c r="G20" s="2">
        <f t="shared" si="4"/>
        <v>1.4490343567869837</v>
      </c>
      <c r="H20" s="2">
        <f t="shared" si="4"/>
        <v>2.9529046103377663</v>
      </c>
      <c r="I20" s="2">
        <f t="shared" si="4"/>
        <v>52.810395619190956</v>
      </c>
      <c r="J20" s="2">
        <f t="shared" si="4"/>
        <v>258.81645067235542</v>
      </c>
      <c r="K20" s="2">
        <f t="shared" si="4"/>
        <v>9.3679506205360212</v>
      </c>
      <c r="L20" s="2">
        <f t="shared" si="4"/>
        <v>-9.2824635371499689</v>
      </c>
      <c r="M20" s="2">
        <f t="shared" si="4"/>
        <v>2.5104815464427395</v>
      </c>
      <c r="N20" s="2">
        <f t="shared" si="4"/>
        <v>-0.69582680748516901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3.0946113107725059E-2</v>
      </c>
      <c r="D21" s="2">
        <f t="shared" si="5"/>
        <v>2.7559415951043382E-3</v>
      </c>
      <c r="E21" s="2">
        <f t="shared" si="5"/>
        <v>0.35399420983425717</v>
      </c>
      <c r="F21" s="2">
        <f t="shared" si="5"/>
        <v>1.779921102708255E-2</v>
      </c>
      <c r="G21" s="2">
        <f t="shared" si="5"/>
        <v>1.2559389307577724E-3</v>
      </c>
      <c r="H21" s="2">
        <f t="shared" si="5"/>
        <v>1.9487699984552385E-2</v>
      </c>
      <c r="I21" s="2">
        <f t="shared" si="5"/>
        <v>0.13659727244843445</v>
      </c>
      <c r="J21" s="2">
        <f t="shared" si="5"/>
        <v>8.5297893391481083E-3</v>
      </c>
      <c r="K21" s="2">
        <f t="shared" si="5"/>
        <v>5.6328585950684809E-2</v>
      </c>
      <c r="L21" s="2">
        <f t="shared" si="5"/>
        <v>5.6119693466034036E-2</v>
      </c>
      <c r="M21" s="2">
        <f t="shared" si="5"/>
        <v>1.7584699489661005E-2</v>
      </c>
      <c r="N21" s="2">
        <f t="shared" si="5"/>
        <v>0.13435759384805346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22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-0.43772839073143155</v>
      </c>
      <c r="D24" s="2">
        <f t="shared" si="8"/>
        <v>0.12876857844194117</v>
      </c>
      <c r="E24" s="2">
        <f t="shared" si="8"/>
        <v>-1.8132408689108539</v>
      </c>
      <c r="F24" s="2">
        <f t="shared" si="8"/>
        <v>-0.32974321037165122</v>
      </c>
      <c r="G24" s="2">
        <f t="shared" si="8"/>
        <v>-8.6862591382356649E-2</v>
      </c>
      <c r="H24" s="2">
        <f t="shared" si="8"/>
        <v>-0.34532609267121317</v>
      </c>
      <c r="I24" s="2">
        <f t="shared" si="8"/>
        <v>-0.9742937818588977</v>
      </c>
      <c r="J24" s="2">
        <f t="shared" si="8"/>
        <v>-0.22719822960111874</v>
      </c>
      <c r="K24" s="2">
        <f t="shared" si="8"/>
        <v>-0.59845245095041344</v>
      </c>
      <c r="L24" s="2">
        <f t="shared" si="8"/>
        <v>0.59727564757146945</v>
      </c>
      <c r="M24" s="2">
        <f t="shared" si="8"/>
        <v>-0.32771441266973633</v>
      </c>
      <c r="N24" s="2">
        <f t="shared" si="8"/>
        <v>0.96502257329720476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0.67690092158125803</v>
      </c>
      <c r="D25" s="2">
        <f t="shared" si="9"/>
        <v>0.90174870641042448</v>
      </c>
      <c r="E25" s="2">
        <f t="shared" si="9"/>
        <v>0.11973625726985633</v>
      </c>
      <c r="F25" s="2">
        <f t="shared" si="9"/>
        <v>0.75280181560930548</v>
      </c>
      <c r="G25" s="2">
        <f t="shared" si="9"/>
        <v>0.93360706211075351</v>
      </c>
      <c r="H25" s="2">
        <f t="shared" si="9"/>
        <v>0.74163377206857106</v>
      </c>
      <c r="I25" s="2">
        <f t="shared" si="9"/>
        <v>0.36753777304013335</v>
      </c>
      <c r="J25" s="2">
        <f t="shared" si="9"/>
        <v>0.82781310085857773</v>
      </c>
      <c r="K25" s="2">
        <f t="shared" si="9"/>
        <v>0.57142281416796958</v>
      </c>
      <c r="L25" s="2">
        <f t="shared" si="9"/>
        <v>0.57215846313771923</v>
      </c>
      <c r="M25" s="2">
        <f t="shared" si="9"/>
        <v>0.75426073571698771</v>
      </c>
      <c r="N25" s="2">
        <f t="shared" si="9"/>
        <v>0.37180142422936291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0.68871350364963568</v>
      </c>
    </row>
  </sheetData>
  <conditionalFormatting sqref="C25:N25">
    <cfRule type="cellIs" dxfId="16" priority="1" operator="lessThan">
      <formula>0.05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D918-F62B-C149-BEDF-62060FF7D84D}">
  <dimension ref="A1:V26"/>
  <sheetViews>
    <sheetView workbookViewId="0">
      <selection activeCell="A26" sqref="A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67</v>
      </c>
      <c r="B1" t="s">
        <v>57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5</v>
      </c>
      <c r="B3">
        <v>7.1747857142857132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138.4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0.5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12.3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1.504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0.56699999999999995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13.57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190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4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1.149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0.76100000000000001</v>
      </c>
      <c r="O3" s="1"/>
      <c r="P3" s="1"/>
      <c r="T3" s="1"/>
      <c r="U3" s="1"/>
      <c r="V3" s="1"/>
    </row>
    <row r="4" spans="1:22" x14ac:dyDescent="0.2">
      <c r="A4" t="s">
        <v>16</v>
      </c>
      <c r="B4">
        <v>7.2313333333333327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153.19999999999999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0.32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10.4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1.0029999999999999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0.86299999999999999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13.69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0.97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1.0680000000000001</v>
      </c>
      <c r="O4" s="1"/>
      <c r="P4" s="1"/>
      <c r="T4" s="1"/>
      <c r="U4" s="1"/>
      <c r="V4" s="1"/>
    </row>
    <row r="5" spans="1:22" x14ac:dyDescent="0.2">
      <c r="A5" t="s">
        <v>17</v>
      </c>
      <c r="B5">
        <v>7.2432499999999997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162.9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1.9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5.7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1.363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1.21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16.25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0.436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0.81</v>
      </c>
      <c r="O5" s="1"/>
      <c r="P5" s="1"/>
      <c r="T5" s="1"/>
      <c r="U5" s="1"/>
      <c r="V5" s="1"/>
    </row>
    <row r="6" spans="1:22" x14ac:dyDescent="0.2">
      <c r="A6" t="s">
        <v>0</v>
      </c>
      <c r="B6">
        <v>7.1672857142857138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143.80000000000001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0.49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10.5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1.1639999999999999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0.84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14.45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180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2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2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0.997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0.94699999999999995</v>
      </c>
      <c r="O6" s="1"/>
      <c r="P6" s="1"/>
      <c r="T6" s="1"/>
      <c r="U6" s="1"/>
      <c r="V6" s="1"/>
    </row>
    <row r="7" spans="1:22" x14ac:dyDescent="0.2">
      <c r="A7" t="s">
        <v>20</v>
      </c>
      <c r="B7">
        <v>7.1238571428571422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0.89300000000000002</v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7.1825359347442683</v>
      </c>
      <c r="C15" s="1">
        <f t="shared" si="0"/>
        <v>156.71666666666667</v>
      </c>
      <c r="D15" s="1">
        <f t="shared" si="0"/>
        <v>-2.7833333333333337</v>
      </c>
      <c r="E15" s="1">
        <f t="shared" si="0"/>
        <v>0.43500000000000005</v>
      </c>
      <c r="F15" s="1">
        <f t="shared" si="0"/>
        <v>10.116666666666667</v>
      </c>
      <c r="G15" s="1">
        <f t="shared" si="0"/>
        <v>1.2383333333333333</v>
      </c>
      <c r="H15" s="1">
        <f t="shared" si="0"/>
        <v>0.85349999999999993</v>
      </c>
      <c r="I15" s="1">
        <f t="shared" si="0"/>
        <v>14.658333333333333</v>
      </c>
      <c r="J15" s="1">
        <f t="shared" si="0"/>
        <v>195.83333333333334</v>
      </c>
      <c r="K15" s="1">
        <f t="shared" si="0"/>
        <v>2</v>
      </c>
      <c r="L15" s="1">
        <f t="shared" si="0"/>
        <v>1.3333333333333333</v>
      </c>
      <c r="M15" s="1">
        <f t="shared" si="0"/>
        <v>0.96099999999999997</v>
      </c>
      <c r="N15" s="1">
        <f t="shared" si="0"/>
        <v>0.89599999999999991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4.5995331659105972E-2</v>
      </c>
      <c r="C16" s="1">
        <f t="shared" si="1"/>
        <v>13.946242026677531</v>
      </c>
      <c r="D16" s="1">
        <f t="shared" si="1"/>
        <v>2.3378765293887236</v>
      </c>
      <c r="E16" s="1">
        <f t="shared" si="1"/>
        <v>9.8944428847711888E-2</v>
      </c>
      <c r="F16" s="1">
        <f t="shared" si="1"/>
        <v>2.2824694229423272</v>
      </c>
      <c r="G16" s="1">
        <f t="shared" si="1"/>
        <v>0.17414553300807611</v>
      </c>
      <c r="H16" s="1">
        <f t="shared" si="1"/>
        <v>0.21513972204128234</v>
      </c>
      <c r="I16" s="1">
        <f t="shared" si="1"/>
        <v>1.0906954967664748</v>
      </c>
      <c r="J16" s="1">
        <f t="shared" si="1"/>
        <v>15.942605391424159</v>
      </c>
      <c r="K16" s="1">
        <f t="shared" si="1"/>
        <v>1.8973665961010275</v>
      </c>
      <c r="L16" s="1">
        <f t="shared" si="1"/>
        <v>1.6329931618554521</v>
      </c>
      <c r="M16" s="1">
        <f t="shared" si="1"/>
        <v>0.29360790180102453</v>
      </c>
      <c r="N16" s="1">
        <f t="shared" si="1"/>
        <v>0.10753232072265682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-0.23912442304883141</v>
      </c>
      <c r="D18" s="1">
        <f t="shared" si="2"/>
        <v>0.76685848398461376</v>
      </c>
      <c r="E18" s="1">
        <f t="shared" si="2"/>
        <v>-0.95360694782069522</v>
      </c>
      <c r="F18" s="1">
        <f t="shared" si="2"/>
        <v>-0.63348090790876843</v>
      </c>
      <c r="G18" s="1">
        <f t="shared" si="2"/>
        <v>-5.3752168283660154E-2</v>
      </c>
      <c r="H18" s="1">
        <f t="shared" si="2"/>
        <v>0.49154213950837278</v>
      </c>
      <c r="I18" s="1">
        <f t="shared" si="2"/>
        <v>0.21498745527269292</v>
      </c>
      <c r="J18" s="1">
        <f t="shared" si="2"/>
        <v>-0.6107202152206952</v>
      </c>
      <c r="K18" s="1">
        <f t="shared" si="2"/>
        <v>-0.70997198457836552</v>
      </c>
      <c r="L18" s="1">
        <f t="shared" si="2"/>
        <v>9.6108226857792009E-2</v>
      </c>
      <c r="M18" s="1">
        <f t="shared" si="2"/>
        <v>-0.59323946405153583</v>
      </c>
      <c r="N18" s="1">
        <f t="shared" si="2"/>
        <v>0.14510621385646236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-72.504903389872652</v>
      </c>
      <c r="D19" s="2">
        <f t="shared" si="3"/>
        <v>38.978313372272687</v>
      </c>
      <c r="E19" s="2">
        <f t="shared" si="3"/>
        <v>-2.0513841599541776</v>
      </c>
      <c r="F19" s="2">
        <f t="shared" si="3"/>
        <v>-31.43581642232278</v>
      </c>
      <c r="G19" s="2">
        <f t="shared" si="3"/>
        <v>-0.20351413194440071</v>
      </c>
      <c r="H19" s="2">
        <f t="shared" si="3"/>
        <v>2.2991515758419863</v>
      </c>
      <c r="I19" s="2">
        <f t="shared" si="3"/>
        <v>5.0980358412262365</v>
      </c>
      <c r="J19" s="2">
        <f t="shared" si="3"/>
        <v>-211.68390453168072</v>
      </c>
      <c r="K19" s="2">
        <f t="shared" si="3"/>
        <v>-29.287257621934245</v>
      </c>
      <c r="L19" s="2">
        <f t="shared" si="3"/>
        <v>3.4121740532281968</v>
      </c>
      <c r="M19" s="2">
        <f t="shared" si="3"/>
        <v>-3.7869015837665403</v>
      </c>
      <c r="N19" s="2">
        <f t="shared" si="3"/>
        <v>0.33924329631775091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677.48574070958853</v>
      </c>
      <c r="D20" s="2">
        <f t="shared" si="4"/>
        <v>-282.74646980540496</v>
      </c>
      <c r="E20" s="2">
        <f t="shared" si="4"/>
        <v>15.169140444836065</v>
      </c>
      <c r="F20" s="2">
        <f t="shared" si="4"/>
        <v>235.90554775802406</v>
      </c>
      <c r="G20" s="2">
        <f t="shared" si="4"/>
        <v>2.7000808992522778</v>
      </c>
      <c r="H20" s="2">
        <f t="shared" si="4"/>
        <v>-15.660238812908979</v>
      </c>
      <c r="I20" s="2">
        <f t="shared" si="4"/>
        <v>-21.958492292888337</v>
      </c>
      <c r="J20" s="2">
        <f t="shared" si="4"/>
        <v>1716.2605844391051</v>
      </c>
      <c r="K20" s="2">
        <f t="shared" si="4"/>
        <v>212.35678029965567</v>
      </c>
      <c r="L20" s="2">
        <f t="shared" si="4"/>
        <v>-23.174729419580192</v>
      </c>
      <c r="M20" s="2">
        <f t="shared" si="4"/>
        <v>28.160556706743154</v>
      </c>
      <c r="N20" s="2">
        <f t="shared" si="4"/>
        <v>-1.5406271664233437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5.7180489698436483E-2</v>
      </c>
      <c r="D21" s="2">
        <f t="shared" si="5"/>
        <v>0.58807193445918049</v>
      </c>
      <c r="E21" s="2">
        <f t="shared" si="5"/>
        <v>0.90936621093190229</v>
      </c>
      <c r="F21" s="2">
        <f t="shared" si="5"/>
        <v>0.40129806068491752</v>
      </c>
      <c r="G21" s="2">
        <f t="shared" si="5"/>
        <v>2.8892955951949208E-3</v>
      </c>
      <c r="H21" s="2">
        <f t="shared" si="5"/>
        <v>0.24161367491246871</v>
      </c>
      <c r="I21" s="2">
        <f t="shared" si="5"/>
        <v>4.6219605924628149E-2</v>
      </c>
      <c r="J21" s="2">
        <f t="shared" si="5"/>
        <v>0.37297918127921253</v>
      </c>
      <c r="K21" s="2">
        <f t="shared" si="5"/>
        <v>0.50406021888614305</v>
      </c>
      <c r="L21" s="2">
        <f t="shared" si="5"/>
        <v>9.2367912697488112E-3</v>
      </c>
      <c r="M21" s="2">
        <f t="shared" si="5"/>
        <v>0.35193306170815358</v>
      </c>
      <c r="N21" s="2">
        <f t="shared" si="5"/>
        <v>2.1055813299757389E-2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6</v>
      </c>
      <c r="D22">
        <f t="shared" ref="D22:N22" si="6">COUNT($B2:$B13)</f>
        <v>6</v>
      </c>
      <c r="E22">
        <f t="shared" si="6"/>
        <v>6</v>
      </c>
      <c r="F22">
        <f t="shared" si="6"/>
        <v>6</v>
      </c>
      <c r="G22">
        <f t="shared" si="6"/>
        <v>6</v>
      </c>
      <c r="H22">
        <f t="shared" si="6"/>
        <v>6</v>
      </c>
      <c r="I22">
        <f t="shared" si="6"/>
        <v>6</v>
      </c>
      <c r="J22">
        <f t="shared" si="6"/>
        <v>6</v>
      </c>
      <c r="K22">
        <f t="shared" si="6"/>
        <v>6</v>
      </c>
      <c r="L22">
        <f t="shared" si="6"/>
        <v>6</v>
      </c>
      <c r="M22">
        <f t="shared" si="6"/>
        <v>6</v>
      </c>
      <c r="N22">
        <f t="shared" si="6"/>
        <v>6</v>
      </c>
    </row>
    <row r="23" spans="1:22" x14ac:dyDescent="0.2">
      <c r="A23" t="s">
        <v>34</v>
      </c>
      <c r="C23">
        <f t="shared" ref="C23:N23" si="7">C22-2</f>
        <v>4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4</v>
      </c>
      <c r="H23">
        <f t="shared" si="7"/>
        <v>4</v>
      </c>
      <c r="I23">
        <f t="shared" si="7"/>
        <v>4</v>
      </c>
      <c r="J23">
        <f t="shared" si="7"/>
        <v>4</v>
      </c>
      <c r="K23">
        <f t="shared" si="7"/>
        <v>4</v>
      </c>
      <c r="L23">
        <f t="shared" si="7"/>
        <v>4</v>
      </c>
      <c r="M23">
        <f t="shared" si="7"/>
        <v>4</v>
      </c>
      <c r="N23">
        <f t="shared" si="7"/>
        <v>4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-0.49253789539954995</v>
      </c>
      <c r="D24" s="2">
        <f t="shared" si="8"/>
        <v>2.3896512900984974</v>
      </c>
      <c r="E24" s="2">
        <f t="shared" si="8"/>
        <v>-6.3351125347977417</v>
      </c>
      <c r="F24" s="2">
        <f t="shared" si="8"/>
        <v>-1.6374128476988485</v>
      </c>
      <c r="G24" s="2">
        <f t="shared" si="8"/>
        <v>-0.10765997982623596</v>
      </c>
      <c r="H24" s="2">
        <f t="shared" si="8"/>
        <v>1.1288740880658965</v>
      </c>
      <c r="I24" s="2">
        <f t="shared" si="8"/>
        <v>0.44026982336347831</v>
      </c>
      <c r="J24" s="2">
        <f t="shared" si="8"/>
        <v>-1.5425218015122399</v>
      </c>
      <c r="K24" s="2">
        <f t="shared" si="8"/>
        <v>-2.0163073558159863</v>
      </c>
      <c r="L24" s="2">
        <f t="shared" si="8"/>
        <v>0.19311038291335841</v>
      </c>
      <c r="M24" s="2">
        <f t="shared" si="8"/>
        <v>-1.4738391766895043</v>
      </c>
      <c r="N24" s="2">
        <f t="shared" si="8"/>
        <v>0.29331686890037312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0.64814999123114714</v>
      </c>
      <c r="D25" s="2">
        <f t="shared" si="9"/>
        <v>7.5196250089712272E-2</v>
      </c>
      <c r="E25" s="2">
        <f t="shared" si="9"/>
        <v>3.1785466979780061E-3</v>
      </c>
      <c r="F25" s="2">
        <f t="shared" si="9"/>
        <v>0.17688596804920209</v>
      </c>
      <c r="G25" s="2">
        <f t="shared" si="9"/>
        <v>0.91944940052603685</v>
      </c>
      <c r="H25" s="2">
        <f t="shared" si="9"/>
        <v>0.32206844208791835</v>
      </c>
      <c r="I25" s="2">
        <f t="shared" si="9"/>
        <v>0.68248713482168188</v>
      </c>
      <c r="J25" s="2">
        <f t="shared" si="9"/>
        <v>0.19781264010079663</v>
      </c>
      <c r="K25" s="2">
        <f t="shared" si="9"/>
        <v>0.1139763401072517</v>
      </c>
      <c r="L25" s="2">
        <f t="shared" si="9"/>
        <v>0.85628152552870751</v>
      </c>
      <c r="M25" s="2">
        <f t="shared" si="9"/>
        <v>0.21453109437757664</v>
      </c>
      <c r="N25" s="2">
        <f t="shared" si="9"/>
        <v>0.78386834388910465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0.11939285714285752</v>
      </c>
    </row>
  </sheetData>
  <conditionalFormatting sqref="C25:N25">
    <cfRule type="cellIs" dxfId="15" priority="1" operator="lessThan">
      <formula>0.05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758A-C437-0145-8DC2-22FD1F4C72E3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67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5</v>
      </c>
      <c r="B3">
        <v>6.4278571428571434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138.4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0.5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12.3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1.504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0.56699999999999995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13.57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190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4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1.149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0.76100000000000001</v>
      </c>
      <c r="O3" s="1"/>
      <c r="P3" s="1"/>
      <c r="T3" s="1"/>
      <c r="U3" s="1"/>
      <c r="V3" s="1"/>
    </row>
    <row r="4" spans="1:22" x14ac:dyDescent="0.2">
      <c r="A4" t="s">
        <v>16</v>
      </c>
      <c r="B4">
        <v>6.5183333333333335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153.19999999999999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0.32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10.4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1.0029999999999999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0.86299999999999999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13.69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0.97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1.0680000000000001</v>
      </c>
      <c r="O4" s="1"/>
      <c r="P4" s="1"/>
      <c r="T4" s="1"/>
      <c r="U4" s="1"/>
      <c r="V4" s="1"/>
    </row>
    <row r="5" spans="1:22" x14ac:dyDescent="0.2">
      <c r="A5" t="s">
        <v>0</v>
      </c>
      <c r="B5">
        <v>6.496999999999999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143.80000000000001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0.49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1.1639999999999999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0.84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14.45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0.997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0.94699999999999995</v>
      </c>
      <c r="O5" s="1"/>
      <c r="P5" s="1"/>
      <c r="T5" s="1"/>
      <c r="U5" s="1"/>
      <c r="V5" s="1"/>
    </row>
    <row r="6" spans="1:22" x14ac:dyDescent="0.2">
      <c r="A6" t="s">
        <v>17</v>
      </c>
      <c r="B6">
        <v>6.51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162.9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1.9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5.7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1.363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1.21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16.25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185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0.436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0.81</v>
      </c>
      <c r="O6" s="1"/>
      <c r="P6" s="1"/>
      <c r="T6" s="1"/>
      <c r="U6" s="1"/>
      <c r="V6" s="1"/>
    </row>
    <row r="7" spans="1:22" x14ac:dyDescent="0.2">
      <c r="A7" t="s">
        <v>20</v>
      </c>
      <c r="B7">
        <v>6.5612222222222227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0.89300000000000002</v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N9" s="1"/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6.5033960336770553</v>
      </c>
      <c r="C15" s="1">
        <f t="shared" si="0"/>
        <v>156.71666666666667</v>
      </c>
      <c r="D15" s="1">
        <f t="shared" si="0"/>
        <v>-2.7833333333333337</v>
      </c>
      <c r="E15" s="1">
        <f t="shared" si="0"/>
        <v>0.43500000000000005</v>
      </c>
      <c r="F15" s="1">
        <f t="shared" si="0"/>
        <v>10.116666666666667</v>
      </c>
      <c r="G15" s="1">
        <f t="shared" si="0"/>
        <v>1.2383333333333333</v>
      </c>
      <c r="H15" s="1">
        <f t="shared" si="0"/>
        <v>0.85349999999999993</v>
      </c>
      <c r="I15" s="1">
        <f t="shared" si="0"/>
        <v>14.658333333333333</v>
      </c>
      <c r="J15" s="1">
        <f t="shared" si="0"/>
        <v>195.83333333333334</v>
      </c>
      <c r="K15" s="1">
        <f t="shared" si="0"/>
        <v>2</v>
      </c>
      <c r="L15" s="1">
        <f t="shared" si="0"/>
        <v>1.3333333333333333</v>
      </c>
      <c r="M15" s="1">
        <f t="shared" si="0"/>
        <v>0.96099999999999997</v>
      </c>
      <c r="N15" s="1">
        <f t="shared" si="0"/>
        <v>0.89600000000000002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4.3276387439429367E-2</v>
      </c>
      <c r="C16" s="1">
        <f t="shared" si="1"/>
        <v>13.946242026677531</v>
      </c>
      <c r="D16" s="1">
        <f t="shared" si="1"/>
        <v>2.3378765293887236</v>
      </c>
      <c r="E16" s="1">
        <f t="shared" si="1"/>
        <v>9.8944428847711888E-2</v>
      </c>
      <c r="F16" s="1">
        <f t="shared" si="1"/>
        <v>2.2824694229423224</v>
      </c>
      <c r="G16" s="1">
        <f t="shared" si="1"/>
        <v>0.17414553300807611</v>
      </c>
      <c r="H16" s="1">
        <f t="shared" si="1"/>
        <v>0.21513972204128196</v>
      </c>
      <c r="I16" s="1">
        <f t="shared" si="1"/>
        <v>1.0906954967664748</v>
      </c>
      <c r="J16" s="1">
        <f t="shared" si="1"/>
        <v>15.942605391424159</v>
      </c>
      <c r="K16" s="1">
        <f t="shared" si="1"/>
        <v>1.8973665961010275</v>
      </c>
      <c r="L16" s="1">
        <f t="shared" si="1"/>
        <v>1.6329931618554521</v>
      </c>
      <c r="M16" s="1">
        <f t="shared" si="1"/>
        <v>0.29360790180102453</v>
      </c>
      <c r="N16" s="1">
        <f t="shared" si="1"/>
        <v>0.10753232072265434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0.81180128962367415</v>
      </c>
      <c r="D18" s="1">
        <f t="shared" si="2"/>
        <v>-3.6986599745380017E-2</v>
      </c>
      <c r="E18" s="1">
        <f t="shared" si="2"/>
        <v>-0.10685698501259402</v>
      </c>
      <c r="F18" s="1">
        <f t="shared" si="2"/>
        <v>-0.33835557519854037</v>
      </c>
      <c r="G18" s="1">
        <f t="shared" si="2"/>
        <v>-0.61790403947763894</v>
      </c>
      <c r="H18" s="1">
        <f t="shared" si="2"/>
        <v>0.59566721953933188</v>
      </c>
      <c r="I18" s="1">
        <f t="shared" si="2"/>
        <v>0.2559823468195549</v>
      </c>
      <c r="J18" s="1">
        <f t="shared" si="2"/>
        <v>0.62475676179231088</v>
      </c>
      <c r="K18" s="1">
        <f t="shared" si="2"/>
        <v>0.76461187249693963</v>
      </c>
      <c r="L18" s="1">
        <f t="shared" si="2"/>
        <v>-0.80677189973716767</v>
      </c>
      <c r="M18" s="1">
        <f t="shared" si="2"/>
        <v>-0.31043195696923553</v>
      </c>
      <c r="N18" s="1">
        <f t="shared" si="2"/>
        <v>0.50291773244906146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261.61095998381666</v>
      </c>
      <c r="D19" s="2">
        <f t="shared" si="3"/>
        <v>-1.9980896873068359</v>
      </c>
      <c r="E19" s="2">
        <f t="shared" si="3"/>
        <v>-0.24431113537972063</v>
      </c>
      <c r="F19" s="2">
        <f t="shared" si="3"/>
        <v>-17.845441825606176</v>
      </c>
      <c r="G19" s="2">
        <f t="shared" si="3"/>
        <v>-2.4864651295878861</v>
      </c>
      <c r="H19" s="2">
        <f t="shared" si="3"/>
        <v>2.9612379318897428</v>
      </c>
      <c r="I19" s="2">
        <f t="shared" si="3"/>
        <v>6.4515272518662874</v>
      </c>
      <c r="J19" s="2">
        <f t="shared" si="3"/>
        <v>230.15438922251522</v>
      </c>
      <c r="K19" s="2">
        <f t="shared" si="3"/>
        <v>33.522877293962047</v>
      </c>
      <c r="L19" s="2">
        <f t="shared" si="3"/>
        <v>-30.4427673703556</v>
      </c>
      <c r="M19" s="2">
        <f t="shared" si="3"/>
        <v>-2.1061202408655801</v>
      </c>
      <c r="N19" s="2">
        <f t="shared" si="3"/>
        <v>1.2496401410241209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-1544.6430128585334</v>
      </c>
      <c r="D20" s="2">
        <f t="shared" si="4"/>
        <v>10.211035214028971</v>
      </c>
      <c r="E20" s="2">
        <f t="shared" si="4"/>
        <v>2.0238520688116131</v>
      </c>
      <c r="F20" s="2">
        <f t="shared" si="4"/>
        <v>126.17264225452851</v>
      </c>
      <c r="G20" s="2">
        <f t="shared" si="4"/>
        <v>17.408800794971498</v>
      </c>
      <c r="H20" s="2">
        <f t="shared" si="4"/>
        <v>-18.4046030210258</v>
      </c>
      <c r="I20" s="2">
        <f t="shared" si="4"/>
        <v>-27.298503407613318</v>
      </c>
      <c r="J20" s="2">
        <f t="shared" si="4"/>
        <v>-1300.9518086697374</v>
      </c>
      <c r="K20" s="2">
        <f t="shared" si="4"/>
        <v>-216.01254723099538</v>
      </c>
      <c r="L20" s="2">
        <f t="shared" si="4"/>
        <v>199.31470590385723</v>
      </c>
      <c r="M20" s="2">
        <f t="shared" si="4"/>
        <v>14.657934020892178</v>
      </c>
      <c r="N20" s="2">
        <f t="shared" si="4"/>
        <v>-7.2309047366599044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0.65902133383466033</v>
      </c>
      <c r="D21" s="2">
        <f t="shared" si="5"/>
        <v>1.3680085607249456E-3</v>
      </c>
      <c r="E21" s="2">
        <f t="shared" si="5"/>
        <v>1.1418415245981747E-2</v>
      </c>
      <c r="F21" s="2">
        <f t="shared" si="5"/>
        <v>0.11448449526793511</v>
      </c>
      <c r="G21" s="2">
        <f t="shared" si="5"/>
        <v>0.38180540200278357</v>
      </c>
      <c r="H21" s="2">
        <f t="shared" si="5"/>
        <v>0.3548194364337186</v>
      </c>
      <c r="I21" s="2">
        <f t="shared" si="5"/>
        <v>6.5526961883246887E-2</v>
      </c>
      <c r="J21" s="2">
        <f t="shared" si="5"/>
        <v>0.3903210114052143</v>
      </c>
      <c r="K21" s="2">
        <f t="shared" si="5"/>
        <v>0.5846313155632763</v>
      </c>
      <c r="L21" s="2">
        <f t="shared" si="5"/>
        <v>0.65088089820551875</v>
      </c>
      <c r="M21" s="2">
        <f t="shared" si="5"/>
        <v>9.636799990774933E-2</v>
      </c>
      <c r="N21" s="2">
        <f t="shared" si="5"/>
        <v>0.25292624561170568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6</v>
      </c>
      <c r="D22">
        <f t="shared" ref="D22:N22" si="6">COUNT($B2:$B13)</f>
        <v>6</v>
      </c>
      <c r="E22">
        <f t="shared" si="6"/>
        <v>6</v>
      </c>
      <c r="F22">
        <f t="shared" si="6"/>
        <v>6</v>
      </c>
      <c r="G22">
        <f t="shared" si="6"/>
        <v>6</v>
      </c>
      <c r="H22">
        <f t="shared" si="6"/>
        <v>6</v>
      </c>
      <c r="I22">
        <f t="shared" si="6"/>
        <v>6</v>
      </c>
      <c r="J22">
        <f t="shared" si="6"/>
        <v>6</v>
      </c>
      <c r="K22">
        <f t="shared" si="6"/>
        <v>6</v>
      </c>
      <c r="L22">
        <f t="shared" si="6"/>
        <v>6</v>
      </c>
      <c r="M22">
        <f t="shared" si="6"/>
        <v>6</v>
      </c>
      <c r="N22">
        <f t="shared" si="6"/>
        <v>6</v>
      </c>
    </row>
    <row r="23" spans="1:22" x14ac:dyDescent="0.2">
      <c r="A23" t="s">
        <v>34</v>
      </c>
      <c r="C23">
        <f t="shared" ref="C23:N23" si="7">C22-2</f>
        <v>4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4</v>
      </c>
      <c r="H23">
        <f t="shared" si="7"/>
        <v>4</v>
      </c>
      <c r="I23">
        <f t="shared" si="7"/>
        <v>4</v>
      </c>
      <c r="J23">
        <f t="shared" si="7"/>
        <v>4</v>
      </c>
      <c r="K23">
        <f t="shared" si="7"/>
        <v>4</v>
      </c>
      <c r="L23">
        <f t="shared" si="7"/>
        <v>4</v>
      </c>
      <c r="M23">
        <f t="shared" si="7"/>
        <v>4</v>
      </c>
      <c r="N23">
        <f t="shared" si="7"/>
        <v>4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2.7804566524652379</v>
      </c>
      <c r="D24" s="2">
        <f t="shared" si="8"/>
        <v>-7.4023849448954473E-2</v>
      </c>
      <c r="E24" s="2">
        <f t="shared" si="8"/>
        <v>-0.21494465690864306</v>
      </c>
      <c r="F24" s="2">
        <f t="shared" si="8"/>
        <v>-0.71912642508670921</v>
      </c>
      <c r="G24" s="2">
        <f t="shared" si="8"/>
        <v>-1.5717679440984706</v>
      </c>
      <c r="H24" s="2">
        <f t="shared" si="8"/>
        <v>1.4831772617124774</v>
      </c>
      <c r="I24" s="2">
        <f t="shared" si="8"/>
        <v>0.52961054570568111</v>
      </c>
      <c r="J24" s="2">
        <f t="shared" si="8"/>
        <v>1.6002592521280292</v>
      </c>
      <c r="K24" s="2">
        <f t="shared" si="8"/>
        <v>2.3727618848222227</v>
      </c>
      <c r="L24" s="2">
        <f t="shared" si="8"/>
        <v>-2.7308255215346233</v>
      </c>
      <c r="M24" s="2">
        <f t="shared" si="8"/>
        <v>-0.65313148104151697</v>
      </c>
      <c r="N24" s="2">
        <f t="shared" si="8"/>
        <v>1.1637111747054514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4.9795249912734395E-2</v>
      </c>
      <c r="D25" s="2">
        <f t="shared" si="9"/>
        <v>0.94454539937447191</v>
      </c>
      <c r="E25" s="2">
        <f t="shared" si="9"/>
        <v>0.84032459119451275</v>
      </c>
      <c r="F25" s="2">
        <f t="shared" si="9"/>
        <v>0.51183487082603762</v>
      </c>
      <c r="G25" s="2">
        <f t="shared" si="9"/>
        <v>0.19110349087949347</v>
      </c>
      <c r="H25" s="2">
        <f t="shared" si="9"/>
        <v>0.21217632426049499</v>
      </c>
      <c r="I25" s="2">
        <f t="shared" si="9"/>
        <v>0.62441335251208219</v>
      </c>
      <c r="J25" s="2">
        <f t="shared" si="9"/>
        <v>0.18479270288404412</v>
      </c>
      <c r="K25" s="2">
        <f t="shared" si="9"/>
        <v>7.6590213711183561E-2</v>
      </c>
      <c r="L25" s="2">
        <f t="shared" si="9"/>
        <v>5.2398359768198628E-2</v>
      </c>
      <c r="M25" s="2">
        <f t="shared" si="9"/>
        <v>0.54930991794643369</v>
      </c>
      <c r="N25" s="2">
        <f t="shared" si="9"/>
        <v>0.30922394828635463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0.13336507936507935</v>
      </c>
    </row>
  </sheetData>
  <conditionalFormatting sqref="C25:N25">
    <cfRule type="cellIs" dxfId="14" priority="1" operator="lessThan">
      <formula>0.05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56AF-2FBB-0A47-9BF4-5CCAF237EEEA}">
  <dimension ref="A1:V26"/>
  <sheetViews>
    <sheetView topLeftCell="A2" zoomScale="120" zoomScaleNormal="120" zoomScaleSheetLayoutView="110" workbookViewId="0">
      <selection activeCell="A28" sqref="A28:B28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62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1</v>
      </c>
      <c r="B3">
        <v>7.088857142857143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6.8891666666666653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16</v>
      </c>
      <c r="B5">
        <v>6.8549090909090893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153.19999999999999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-3.2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0.32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10.4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1.0029999999999999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0.86299999999999999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13.69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195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0.97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1.0680000000000001</v>
      </c>
      <c r="O5" s="1"/>
      <c r="P5" s="1"/>
      <c r="T5" s="1"/>
      <c r="U5" s="1"/>
      <c r="V5" s="1"/>
    </row>
    <row r="6" spans="1:22" x14ac:dyDescent="0.2">
      <c r="A6" t="s">
        <v>17</v>
      </c>
      <c r="B6">
        <v>7.013374999999999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162.9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1.9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5.7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1.363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1.21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16.25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185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0.436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0.81</v>
      </c>
      <c r="O6" s="1"/>
      <c r="P6" s="1"/>
      <c r="T6" s="1"/>
      <c r="U6" s="1"/>
      <c r="V6" s="1"/>
    </row>
    <row r="7" spans="1:22" x14ac:dyDescent="0.2">
      <c r="A7" t="s">
        <v>0</v>
      </c>
      <c r="B7">
        <v>6.8827777777777781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143.80000000000001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0.49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1.1639999999999999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0.84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14.45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180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2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2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0.997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0.94699999999999995</v>
      </c>
      <c r="O7" s="1"/>
      <c r="P7" s="1"/>
      <c r="T7" s="1"/>
      <c r="U7" s="1"/>
      <c r="V7" s="1"/>
    </row>
    <row r="8" spans="1:22" x14ac:dyDescent="0.2">
      <c r="A8" t="s">
        <v>20</v>
      </c>
      <c r="B8">
        <v>7.1571428571428575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173.4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-4.5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0.53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10.5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1.224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0.92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14.28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225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5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0.91200000000000003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0.89300000000000002</v>
      </c>
      <c r="O8" s="1"/>
      <c r="P8" s="1"/>
      <c r="T8" s="1"/>
      <c r="U8" s="1"/>
      <c r="V8" s="1"/>
    </row>
    <row r="9" spans="1:22" x14ac:dyDescent="0.2">
      <c r="A9" t="s">
        <v>2</v>
      </c>
      <c r="B9">
        <v>7.027285714285715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140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4.2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0.39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5.9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0.99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1.9650000000000001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21.57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155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0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0.38700000000000001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0.77200000000000002</v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7.008527244167869</v>
      </c>
      <c r="C15" s="1">
        <f t="shared" si="0"/>
        <v>146.11250000000001</v>
      </c>
      <c r="D15" s="1">
        <f t="shared" si="0"/>
        <v>-1.3374999999999999</v>
      </c>
      <c r="E15" s="1">
        <f t="shared" si="0"/>
        <v>0.4200000000000001</v>
      </c>
      <c r="F15" s="1">
        <f t="shared" si="0"/>
        <v>9.3375000000000021</v>
      </c>
      <c r="G15" s="1">
        <f t="shared" si="0"/>
        <v>1.2386250000000001</v>
      </c>
      <c r="H15" s="1">
        <f t="shared" si="0"/>
        <v>0.97437499999999999</v>
      </c>
      <c r="I15" s="1">
        <f t="shared" si="0"/>
        <v>15.127500000000001</v>
      </c>
      <c r="J15" s="1">
        <f t="shared" si="0"/>
        <v>180.625</v>
      </c>
      <c r="K15" s="1">
        <f t="shared" si="0"/>
        <v>1.5</v>
      </c>
      <c r="L15" s="1">
        <f t="shared" si="0"/>
        <v>1</v>
      </c>
      <c r="M15" s="1">
        <f t="shared" si="0"/>
        <v>0.86762499999999987</v>
      </c>
      <c r="N15" s="1">
        <f t="shared" si="0"/>
        <v>0.87150000000000005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0.12185520920514911</v>
      </c>
      <c r="C16" s="1">
        <f t="shared" si="1"/>
        <v>26.705346575438465</v>
      </c>
      <c r="D16" s="1">
        <f t="shared" si="1"/>
        <v>3.3886101238455524</v>
      </c>
      <c r="E16" s="1">
        <f t="shared" si="1"/>
        <v>8.8479214669725095E-2</v>
      </c>
      <c r="F16" s="1">
        <f t="shared" si="1"/>
        <v>2.4795953010809648</v>
      </c>
      <c r="G16" s="1">
        <f t="shared" si="1"/>
        <v>0.19861516090887127</v>
      </c>
      <c r="H16" s="1">
        <f t="shared" si="1"/>
        <v>0.44253359436641299</v>
      </c>
      <c r="I16" s="1">
        <f t="shared" si="1"/>
        <v>2.9744951552442251</v>
      </c>
      <c r="J16" s="1">
        <f t="shared" si="1"/>
        <v>32.997564845216772</v>
      </c>
      <c r="K16" s="1">
        <f t="shared" si="1"/>
        <v>1.8516401995451028</v>
      </c>
      <c r="L16" s="1">
        <f t="shared" si="1"/>
        <v>1.5118578920369088</v>
      </c>
      <c r="M16" s="1">
        <f t="shared" si="1"/>
        <v>0.32086531998866558</v>
      </c>
      <c r="N16" s="1">
        <f t="shared" si="1"/>
        <v>0.10252107797214874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0.12343814185634665</v>
      </c>
      <c r="D18" s="1">
        <f t="shared" si="2"/>
        <v>0.1187345496219136</v>
      </c>
      <c r="E18" s="1">
        <f t="shared" si="2"/>
        <v>0.19481200233786852</v>
      </c>
      <c r="F18" s="1">
        <f t="shared" si="2"/>
        <v>-0.1819786579425573</v>
      </c>
      <c r="G18" s="1">
        <f t="shared" si="2"/>
        <v>0.10650833916988672</v>
      </c>
      <c r="H18" s="1">
        <f t="shared" si="2"/>
        <v>9.5159113840241449E-2</v>
      </c>
      <c r="I18" s="1">
        <f t="shared" si="2"/>
        <v>0.11272954171069451</v>
      </c>
      <c r="J18" s="1">
        <f t="shared" si="2"/>
        <v>1.5887861392360519E-2</v>
      </c>
      <c r="K18" s="1">
        <f t="shared" si="2"/>
        <v>0.39436667636491968</v>
      </c>
      <c r="L18" s="1">
        <f t="shared" si="2"/>
        <v>-0.80349109389897333</v>
      </c>
      <c r="M18" s="1">
        <f t="shared" si="2"/>
        <v>-4.7479454778190815E-2</v>
      </c>
      <c r="N18" s="1">
        <f t="shared" si="2"/>
        <v>-0.29214994724824805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27.052256365603004</v>
      </c>
      <c r="D19" s="2">
        <f t="shared" si="3"/>
        <v>3.3018292736397603</v>
      </c>
      <c r="E19" s="2">
        <f t="shared" si="3"/>
        <v>0.14145323033398102</v>
      </c>
      <c r="F19" s="2">
        <f t="shared" si="3"/>
        <v>-3.7030294238116173</v>
      </c>
      <c r="G19" s="2">
        <f t="shared" si="3"/>
        <v>0.17360087484442055</v>
      </c>
      <c r="H19" s="2">
        <f t="shared" si="3"/>
        <v>0.34558313066082119</v>
      </c>
      <c r="I19" s="2">
        <f t="shared" si="3"/>
        <v>2.7517369003638357</v>
      </c>
      <c r="J19" s="2">
        <f t="shared" si="3"/>
        <v>4.3023251936945419</v>
      </c>
      <c r="K19" s="2">
        <f t="shared" si="3"/>
        <v>5.9925644220011103</v>
      </c>
      <c r="L19" s="2">
        <f t="shared" si="3"/>
        <v>-9.9689160555082843</v>
      </c>
      <c r="M19" s="2">
        <f t="shared" si="3"/>
        <v>-0.12502141311532711</v>
      </c>
      <c r="N19" s="2">
        <f t="shared" si="3"/>
        <v>-0.24579603708998585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-43.483975754542286</v>
      </c>
      <c r="D20" s="2">
        <f t="shared" si="4"/>
        <v>-24.478460419895264</v>
      </c>
      <c r="E20" s="2">
        <f t="shared" si="4"/>
        <v>-0.57137881857125872</v>
      </c>
      <c r="F20" s="2">
        <f t="shared" si="4"/>
        <v>35.290282602738969</v>
      </c>
      <c r="G20" s="2">
        <f t="shared" si="4"/>
        <v>2.1938539041502114E-2</v>
      </c>
      <c r="H20" s="2">
        <f t="shared" si="4"/>
        <v>-1.4476537863611896</v>
      </c>
      <c r="I20" s="2">
        <f t="shared" si="4"/>
        <v>-4.1581230349819869</v>
      </c>
      <c r="J20" s="2">
        <f t="shared" si="4"/>
        <v>150.472036666722</v>
      </c>
      <c r="K20" s="2">
        <f t="shared" si="4"/>
        <v>-40.499051014025859</v>
      </c>
      <c r="L20" s="2">
        <f t="shared" si="4"/>
        <v>70.867419769852305</v>
      </c>
      <c r="M20" s="2">
        <f t="shared" si="4"/>
        <v>1.743840979923136</v>
      </c>
      <c r="N20" s="2">
        <f t="shared" si="4"/>
        <v>2.594168222453662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1.5236974864947558E-2</v>
      </c>
      <c r="D21" s="2">
        <f t="shared" si="5"/>
        <v>1.4097893273918666E-2</v>
      </c>
      <c r="E21" s="2">
        <f t="shared" si="5"/>
        <v>3.7951716254889703E-2</v>
      </c>
      <c r="F21" s="2">
        <f t="shared" si="5"/>
        <v>3.3116231946574294E-2</v>
      </c>
      <c r="G21" s="2">
        <f t="shared" si="5"/>
        <v>1.1344026312727627E-2</v>
      </c>
      <c r="H21" s="2">
        <f t="shared" si="5"/>
        <v>9.0552569468600325E-3</v>
      </c>
      <c r="I21" s="2">
        <f t="shared" si="5"/>
        <v>1.2707949574303209E-2</v>
      </c>
      <c r="J21" s="2">
        <f t="shared" si="5"/>
        <v>2.5242413962285994E-4</v>
      </c>
      <c r="K21" s="2">
        <f t="shared" si="5"/>
        <v>0.1555250754271133</v>
      </c>
      <c r="L21" s="2">
        <f t="shared" si="5"/>
        <v>0.64559793797496912</v>
      </c>
      <c r="M21" s="2">
        <f t="shared" si="5"/>
        <v>2.2542986260342666E-3</v>
      </c>
      <c r="N21" s="2">
        <f t="shared" si="5"/>
        <v>8.5351591677154157E-2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22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0.30469065461047329</v>
      </c>
      <c r="D24" s="2">
        <f t="shared" si="8"/>
        <v>0.29291110494491901</v>
      </c>
      <c r="E24" s="2">
        <f t="shared" si="8"/>
        <v>0.48651126514923942</v>
      </c>
      <c r="F24" s="2">
        <f t="shared" si="8"/>
        <v>-0.45332424650557163</v>
      </c>
      <c r="G24" s="2">
        <f t="shared" si="8"/>
        <v>0.262383572168782</v>
      </c>
      <c r="H24" s="2">
        <f t="shared" si="8"/>
        <v>0.23415384584080776</v>
      </c>
      <c r="I24" s="2">
        <f t="shared" si="8"/>
        <v>0.27790127963721512</v>
      </c>
      <c r="J24" s="2">
        <f t="shared" si="8"/>
        <v>3.8922066259935342E-2</v>
      </c>
      <c r="K24" s="2">
        <f t="shared" si="8"/>
        <v>1.0511929905906066</v>
      </c>
      <c r="L24" s="2">
        <f t="shared" si="8"/>
        <v>-3.3060435673254758</v>
      </c>
      <c r="M24" s="2">
        <f t="shared" si="8"/>
        <v>-0.11643174748104926</v>
      </c>
      <c r="N24" s="2">
        <f t="shared" si="8"/>
        <v>-0.74826312942796713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0.77089376707566859</v>
      </c>
      <c r="D25" s="2">
        <f t="shared" si="9"/>
        <v>0.77945625375864913</v>
      </c>
      <c r="E25" s="2">
        <f t="shared" si="9"/>
        <v>0.64386408511984672</v>
      </c>
      <c r="F25" s="2">
        <f t="shared" si="9"/>
        <v>0.66624823570310987</v>
      </c>
      <c r="G25" s="2">
        <f t="shared" si="9"/>
        <v>0.80180201597223322</v>
      </c>
      <c r="H25" s="2">
        <f t="shared" si="9"/>
        <v>0.82265084827296675</v>
      </c>
      <c r="I25" s="2">
        <f t="shared" si="9"/>
        <v>0.79041598411300362</v>
      </c>
      <c r="J25" s="2">
        <f t="shared" si="9"/>
        <v>0.97021527260937379</v>
      </c>
      <c r="K25" s="2">
        <f t="shared" si="9"/>
        <v>0.33365275547800421</v>
      </c>
      <c r="L25" s="2">
        <f t="shared" si="9"/>
        <v>1.6284777784271121E-2</v>
      </c>
      <c r="M25" s="2">
        <f t="shared" si="9"/>
        <v>0.9111097228964623</v>
      </c>
      <c r="N25" s="2">
        <f t="shared" si="9"/>
        <v>0.48259007212078864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0.30223376623376819</v>
      </c>
    </row>
  </sheetData>
  <conditionalFormatting sqref="C25:N25">
    <cfRule type="cellIs" dxfId="13" priority="1" operator="lessThan">
      <formula>0.05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7411-7C9B-4449-BC5A-AB2E4679FE38}">
  <dimension ref="A1:V26"/>
  <sheetViews>
    <sheetView zoomScaleNormal="100" workbookViewId="0">
      <selection activeCell="A28" sqref="A28:B28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62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1</v>
      </c>
      <c r="B3">
        <v>6.3360000000000003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6.1287500000000001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0</v>
      </c>
      <c r="B5">
        <v>6.0858571428571429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143.80000000000001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0.49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10.5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1.1639999999999999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0.84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14.45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0.997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0.94699999999999995</v>
      </c>
      <c r="O5" s="1"/>
      <c r="P5" s="1"/>
      <c r="T5" s="1"/>
      <c r="U5" s="1"/>
      <c r="V5" s="1"/>
    </row>
    <row r="6" spans="1:22" x14ac:dyDescent="0.2">
      <c r="A6" t="s">
        <v>20</v>
      </c>
      <c r="B6">
        <v>6.5646666666666658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173.4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-4.5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0.53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10.5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1.224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0.92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14.28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225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5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0.91200000000000003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0.89300000000000002</v>
      </c>
      <c r="O6" s="1"/>
      <c r="P6" s="1"/>
      <c r="T6" s="1"/>
      <c r="U6" s="1"/>
      <c r="V6" s="1"/>
    </row>
    <row r="7" spans="1:22" x14ac:dyDescent="0.2">
      <c r="A7" t="s">
        <v>16</v>
      </c>
      <c r="B7">
        <v>6.0830000000000002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153.19999999999999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-3.2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0.32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10.4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1.0029999999999999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0.86299999999999999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13.69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195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2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2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0.97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1.0680000000000001</v>
      </c>
      <c r="O7" s="1"/>
      <c r="P7" s="1"/>
      <c r="T7" s="1"/>
      <c r="U7" s="1"/>
      <c r="V7" s="1"/>
    </row>
    <row r="8" spans="1:22" x14ac:dyDescent="0.2">
      <c r="A8" t="s">
        <v>17</v>
      </c>
      <c r="B8">
        <v>6.322571428571429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162.9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1.9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0.3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5.7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1.363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1.21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16.25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185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0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0.436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0.81</v>
      </c>
      <c r="O8" s="1"/>
      <c r="P8" s="1"/>
      <c r="T8" s="1"/>
      <c r="U8" s="1"/>
      <c r="V8" s="1"/>
    </row>
    <row r="9" spans="1:22" x14ac:dyDescent="0.2">
      <c r="A9" t="s">
        <v>2</v>
      </c>
      <c r="B9">
        <v>6.2007499999999993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140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4.2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0.39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5.9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0.99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1.9650000000000001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21.57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155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0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0.38700000000000001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0.77200000000000002</v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6.278444842718109</v>
      </c>
      <c r="C15" s="1">
        <f t="shared" si="0"/>
        <v>146.11250000000001</v>
      </c>
      <c r="D15" s="1">
        <f t="shared" si="0"/>
        <v>-1.3374999999999999</v>
      </c>
      <c r="E15" s="1">
        <f t="shared" si="0"/>
        <v>0.42</v>
      </c>
      <c r="F15" s="1">
        <f t="shared" si="0"/>
        <v>9.3375000000000004</v>
      </c>
      <c r="G15" s="1">
        <f t="shared" si="0"/>
        <v>1.2386250000000001</v>
      </c>
      <c r="H15" s="1">
        <f t="shared" si="0"/>
        <v>0.97437499999999988</v>
      </c>
      <c r="I15" s="1">
        <f t="shared" si="0"/>
        <v>15.127500000000001</v>
      </c>
      <c r="J15" s="1">
        <f t="shared" si="0"/>
        <v>180.625</v>
      </c>
      <c r="K15" s="1">
        <f t="shared" si="0"/>
        <v>1.5</v>
      </c>
      <c r="L15" s="1">
        <f t="shared" si="0"/>
        <v>1</v>
      </c>
      <c r="M15" s="1">
        <f t="shared" si="0"/>
        <v>0.86762499999999987</v>
      </c>
      <c r="N15" s="1">
        <f t="shared" si="0"/>
        <v>0.87150000000000016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0.18619543054450002</v>
      </c>
      <c r="C16" s="1">
        <f t="shared" si="1"/>
        <v>26.705346575438465</v>
      </c>
      <c r="D16" s="1">
        <f t="shared" si="1"/>
        <v>3.3886101238455524</v>
      </c>
      <c r="E16" s="1">
        <f t="shared" si="1"/>
        <v>8.8479214669726164E-2</v>
      </c>
      <c r="F16" s="1">
        <f t="shared" si="1"/>
        <v>2.4795953010809741</v>
      </c>
      <c r="G16" s="1">
        <f t="shared" si="1"/>
        <v>0.19861516090887063</v>
      </c>
      <c r="H16" s="1">
        <f t="shared" si="1"/>
        <v>0.44253359436641332</v>
      </c>
      <c r="I16" s="1">
        <f t="shared" si="1"/>
        <v>2.9744951552442251</v>
      </c>
      <c r="J16" s="1">
        <f t="shared" si="1"/>
        <v>32.997564845216772</v>
      </c>
      <c r="K16" s="1">
        <f t="shared" si="1"/>
        <v>1.8516401995451028</v>
      </c>
      <c r="L16" s="1">
        <f t="shared" si="1"/>
        <v>1.5118578920369088</v>
      </c>
      <c r="M16" s="1">
        <f t="shared" si="1"/>
        <v>0.32086531998866558</v>
      </c>
      <c r="N16" s="1">
        <f t="shared" si="1"/>
        <v>0.1025210779721475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0.31737427513392069</v>
      </c>
      <c r="D18" s="1">
        <f t="shared" si="2"/>
        <v>-0.1111231401838545</v>
      </c>
      <c r="E18" s="1">
        <f t="shared" si="2"/>
        <v>0.26474313295436769</v>
      </c>
      <c r="F18" s="1">
        <f t="shared" si="2"/>
        <v>-1.8699964619256916E-2</v>
      </c>
      <c r="G18" s="1">
        <f t="shared" si="2"/>
        <v>0.15671790137226879</v>
      </c>
      <c r="H18" s="1">
        <f t="shared" si="2"/>
        <v>-8.0489559925701379E-2</v>
      </c>
      <c r="I18" s="1">
        <f t="shared" si="2"/>
        <v>-3.2310100262673634E-2</v>
      </c>
      <c r="J18" s="1">
        <f t="shared" si="2"/>
        <v>0.26561711365108759</v>
      </c>
      <c r="K18" s="1">
        <f t="shared" si="2"/>
        <v>0.55424604939925415</v>
      </c>
      <c r="L18" s="1">
        <f t="shared" si="2"/>
        <v>-0.69771094646850851</v>
      </c>
      <c r="M18" s="1">
        <f t="shared" si="2"/>
        <v>9.1336756860165874E-2</v>
      </c>
      <c r="N18" s="1">
        <f t="shared" si="2"/>
        <v>-0.16588144775108535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45.519860432634495</v>
      </c>
      <c r="D19" s="2">
        <f t="shared" si="3"/>
        <v>-2.0223535922409388</v>
      </c>
      <c r="E19" s="2">
        <f t="shared" si="3"/>
        <v>0.12580472262130488</v>
      </c>
      <c r="F19" s="2">
        <f t="shared" si="3"/>
        <v>-0.2490305173692654</v>
      </c>
      <c r="G19" s="2">
        <f t="shared" si="3"/>
        <v>0.1671714021516483</v>
      </c>
      <c r="H19" s="2">
        <f t="shared" si="3"/>
        <v>-0.19130079701058267</v>
      </c>
      <c r="I19" s="2">
        <f t="shared" si="3"/>
        <v>-0.51615786926526741</v>
      </c>
      <c r="J19" s="2">
        <f t="shared" si="3"/>
        <v>47.072680065617071</v>
      </c>
      <c r="K19" s="2">
        <f t="shared" si="3"/>
        <v>5.511758599583068</v>
      </c>
      <c r="L19" s="2">
        <f t="shared" si="3"/>
        <v>-5.6652292577440724</v>
      </c>
      <c r="M19" s="2">
        <f t="shared" si="3"/>
        <v>0.15739805016138583</v>
      </c>
      <c r="N19" s="2">
        <f t="shared" si="3"/>
        <v>-9.1335994601422332E-2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-139.68143297452212</v>
      </c>
      <c r="D20" s="2">
        <f t="shared" si="4"/>
        <v>11.359735481357564</v>
      </c>
      <c r="E20" s="2">
        <f t="shared" si="4"/>
        <v>-0.36985801193131379</v>
      </c>
      <c r="F20" s="2">
        <f t="shared" si="4"/>
        <v>10.901024367456488</v>
      </c>
      <c r="G20" s="2">
        <f t="shared" si="4"/>
        <v>0.1890485723110289</v>
      </c>
      <c r="H20" s="2">
        <f t="shared" si="4"/>
        <v>2.1754465023989566</v>
      </c>
      <c r="I20" s="2">
        <f t="shared" si="4"/>
        <v>18.368168712316887</v>
      </c>
      <c r="J20" s="2">
        <f t="shared" si="4"/>
        <v>-114.91822539089304</v>
      </c>
      <c r="K20" s="2">
        <f t="shared" si="4"/>
        <v>-33.105272353859498</v>
      </c>
      <c r="L20" s="2">
        <f t="shared" si="4"/>
        <v>36.568829416099014</v>
      </c>
      <c r="M20" s="2">
        <f t="shared" si="4"/>
        <v>-0.12058997628963919</v>
      </c>
      <c r="N20" s="2">
        <f t="shared" si="4"/>
        <v>1.4449480042598293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0.1007264305167816</v>
      </c>
      <c r="D21" s="2">
        <f t="shared" si="5"/>
        <v>1.2348352284320577E-2</v>
      </c>
      <c r="E21" s="2">
        <f t="shared" si="5"/>
        <v>7.0088926446493977E-2</v>
      </c>
      <c r="F21" s="2">
        <f t="shared" si="5"/>
        <v>3.4968867676146047E-4</v>
      </c>
      <c r="G21" s="2">
        <f t="shared" si="5"/>
        <v>2.4560500610528158E-2</v>
      </c>
      <c r="H21" s="2">
        <f t="shared" si="5"/>
        <v>6.478569257033071E-3</v>
      </c>
      <c r="I21" s="2">
        <f t="shared" si="5"/>
        <v>1.0439425789840224E-3</v>
      </c>
      <c r="J21" s="2">
        <f t="shared" si="5"/>
        <v>7.0552451064334748E-2</v>
      </c>
      <c r="K21" s="2">
        <f t="shared" si="5"/>
        <v>0.30718868327468046</v>
      </c>
      <c r="L21" s="2">
        <f t="shared" si="5"/>
        <v>0.48680056482198192</v>
      </c>
      <c r="M21" s="2">
        <f t="shared" si="5"/>
        <v>8.342403153733061E-3</v>
      </c>
      <c r="N21" s="2">
        <f t="shared" si="5"/>
        <v>2.7516654707996059E-2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22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0.81978776533113928</v>
      </c>
      <c r="D24" s="2">
        <f t="shared" si="8"/>
        <v>-0.27389129809715501</v>
      </c>
      <c r="E24" s="2">
        <f t="shared" si="8"/>
        <v>0.67248038215284156</v>
      </c>
      <c r="F24" s="2">
        <f t="shared" si="8"/>
        <v>-4.5813382436211643E-2</v>
      </c>
      <c r="G24" s="2">
        <f t="shared" si="8"/>
        <v>0.38868167316393959</v>
      </c>
      <c r="H24" s="2">
        <f t="shared" si="8"/>
        <v>-0.19780012346874212</v>
      </c>
      <c r="I24" s="2">
        <f t="shared" si="8"/>
        <v>-7.9184602063278098E-2</v>
      </c>
      <c r="J24" s="2">
        <f t="shared" si="8"/>
        <v>0.67486862037058182</v>
      </c>
      <c r="K24" s="2">
        <f t="shared" si="8"/>
        <v>1.6310630331430365</v>
      </c>
      <c r="L24" s="2">
        <f t="shared" si="8"/>
        <v>-2.3856574082544464</v>
      </c>
      <c r="M24" s="2">
        <f t="shared" si="8"/>
        <v>0.22466754536950403</v>
      </c>
      <c r="N24" s="2">
        <f t="shared" si="8"/>
        <v>-0.41203333748649806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0.44367569885080121</v>
      </c>
      <c r="D25" s="2">
        <f t="shared" si="9"/>
        <v>0.79335299266134929</v>
      </c>
      <c r="E25" s="2">
        <f t="shared" si="9"/>
        <v>0.5263133758947689</v>
      </c>
      <c r="F25" s="2">
        <f t="shared" si="9"/>
        <v>0.96494573943874518</v>
      </c>
      <c r="G25" s="2">
        <f t="shared" si="9"/>
        <v>0.71092982190909748</v>
      </c>
      <c r="H25" s="2">
        <f t="shared" si="9"/>
        <v>0.84973262976367714</v>
      </c>
      <c r="I25" s="2">
        <f t="shared" si="9"/>
        <v>0.93946071116470586</v>
      </c>
      <c r="J25" s="2">
        <f t="shared" si="9"/>
        <v>0.52489702919967907</v>
      </c>
      <c r="K25" s="2">
        <f t="shared" si="9"/>
        <v>0.15399828782223579</v>
      </c>
      <c r="L25" s="2">
        <f t="shared" si="9"/>
        <v>5.4347114541490868E-2</v>
      </c>
      <c r="M25" s="2">
        <f t="shared" si="9"/>
        <v>0.82969365720604749</v>
      </c>
      <c r="N25" s="2">
        <f t="shared" si="9"/>
        <v>0.69463081367709034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0.48166666666666558</v>
      </c>
    </row>
  </sheetData>
  <conditionalFormatting sqref="C25:N25">
    <cfRule type="cellIs" dxfId="12" priority="1" operator="lessThan">
      <formula>0.05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0E1F-97AF-E342-8F8F-38739654D49E}">
  <dimension ref="A1:V26"/>
  <sheetViews>
    <sheetView zoomScaleNormal="100" workbookViewId="0">
      <selection activeCell="A28" sqref="A28:B28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63</v>
      </c>
      <c r="B1" t="s">
        <v>57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7.0388750000000009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</v>
      </c>
      <c r="B4">
        <v>6.9619999999999997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88.6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1.8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8.1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1.4890000000000001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0.70899999999999996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11.5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115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0.78800000000000003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0.82399999999999995</v>
      </c>
      <c r="O4" s="1"/>
      <c r="P4" s="1"/>
      <c r="T4" s="1"/>
      <c r="U4" s="1"/>
      <c r="V4" s="1"/>
    </row>
    <row r="5" spans="1:22" x14ac:dyDescent="0.2">
      <c r="A5" t="s">
        <v>4</v>
      </c>
      <c r="B5">
        <v>7.0831666666666662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111.1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0.51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13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0.92400000000000004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0.54100000000000004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11.68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150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4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1.1970000000000001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1.1970000000000001</v>
      </c>
      <c r="O5" s="1"/>
      <c r="P5" s="1"/>
      <c r="T5" s="1"/>
      <c r="U5" s="1"/>
      <c r="V5" s="1"/>
    </row>
    <row r="6" spans="1:22" x14ac:dyDescent="0.2">
      <c r="A6" t="s">
        <v>6</v>
      </c>
      <c r="B6">
        <v>6.9769999999999994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168.6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0.47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11.3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1.1719999999999999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0.72099999999999997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15.71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200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3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1.302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0.89700000000000002</v>
      </c>
      <c r="O6" s="1"/>
      <c r="P6" s="1"/>
      <c r="T6" s="1"/>
      <c r="U6" s="1"/>
      <c r="V6" s="1"/>
    </row>
    <row r="7" spans="1:22" x14ac:dyDescent="0.2">
      <c r="M7" t="str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/>
      </c>
      <c r="N7" t="str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/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7.0431490740740745</v>
      </c>
      <c r="C15" s="1">
        <f t="shared" si="0"/>
        <v>130.10000000000002</v>
      </c>
      <c r="D15" s="1">
        <f t="shared" si="0"/>
        <v>-2.52</v>
      </c>
      <c r="E15" s="1">
        <f t="shared" si="0"/>
        <v>0.46600000000000003</v>
      </c>
      <c r="F15" s="1">
        <f t="shared" si="0"/>
        <v>11.040000000000001</v>
      </c>
      <c r="G15" s="1">
        <f t="shared" si="0"/>
        <v>1.2505999999999999</v>
      </c>
      <c r="H15" s="1">
        <f t="shared" si="0"/>
        <v>0.67559999999999998</v>
      </c>
      <c r="I15" s="1">
        <f t="shared" si="0"/>
        <v>13.382</v>
      </c>
      <c r="J15" s="1">
        <f t="shared" si="0"/>
        <v>167</v>
      </c>
      <c r="K15" s="1">
        <f t="shared" si="0"/>
        <v>1</v>
      </c>
      <c r="L15" s="1">
        <f t="shared" si="0"/>
        <v>2</v>
      </c>
      <c r="M15" s="1">
        <f t="shared" si="0"/>
        <v>1.0866</v>
      </c>
      <c r="N15" s="1">
        <f t="shared" si="0"/>
        <v>0.92520000000000002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7.9096433297967075E-2</v>
      </c>
      <c r="C16" s="1">
        <f t="shared" si="1"/>
        <v>30.91148653817854</v>
      </c>
      <c r="D16" s="1">
        <f t="shared" si="1"/>
        <v>2.4211567483333254</v>
      </c>
      <c r="E16" s="1">
        <f t="shared" si="1"/>
        <v>6.1073725938409061E-2</v>
      </c>
      <c r="F16" s="1">
        <f t="shared" si="1"/>
        <v>1.8994736112933961</v>
      </c>
      <c r="G16" s="1">
        <f t="shared" si="1"/>
        <v>0.24565789219970061</v>
      </c>
      <c r="H16" s="1">
        <f t="shared" si="1"/>
        <v>0.12259200626468204</v>
      </c>
      <c r="I16" s="1">
        <f t="shared" si="1"/>
        <v>1.8051509632161018</v>
      </c>
      <c r="J16" s="1">
        <f t="shared" si="1"/>
        <v>34.568772034887211</v>
      </c>
      <c r="K16" s="1">
        <f t="shared" si="1"/>
        <v>1.4142135623730951</v>
      </c>
      <c r="L16" s="1">
        <f t="shared" si="1"/>
        <v>2</v>
      </c>
      <c r="M16" s="1">
        <f t="shared" si="1"/>
        <v>0.19979314302548118</v>
      </c>
      <c r="N16" s="1">
        <f t="shared" si="1"/>
        <v>0.16759236259448063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9.4884049292629571E-2</v>
      </c>
      <c r="D18" s="1">
        <f t="shared" si="2"/>
        <v>-0.5269193378646384</v>
      </c>
      <c r="E18" s="1">
        <f t="shared" si="2"/>
        <v>0.71357254711136642</v>
      </c>
      <c r="F18" s="1">
        <f t="shared" si="2"/>
        <v>0.73661500757651799</v>
      </c>
      <c r="G18" s="1">
        <f t="shared" si="2"/>
        <v>1.8292095578570505E-2</v>
      </c>
      <c r="H18" s="1">
        <f t="shared" si="2"/>
        <v>-0.61664472908847678</v>
      </c>
      <c r="I18" s="1">
        <f t="shared" si="2"/>
        <v>-9.2755460019687694E-2</v>
      </c>
      <c r="J18" s="1">
        <f t="shared" si="2"/>
        <v>0.35354333153051692</v>
      </c>
      <c r="K18" s="1">
        <f t="shared" si="2"/>
        <v>-0.46262462149122596</v>
      </c>
      <c r="L18" s="1">
        <f t="shared" si="2"/>
        <v>0.94463921414916641</v>
      </c>
      <c r="M18" s="1">
        <f t="shared" si="2"/>
        <v>0.34399503725385938</v>
      </c>
      <c r="N18" s="1">
        <f t="shared" si="2"/>
        <v>4.7978931946206484E-2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37.081406709553654</v>
      </c>
      <c r="D19" s="2">
        <f t="shared" si="3"/>
        <v>-16.12910035895495</v>
      </c>
      <c r="E19" s="2">
        <f t="shared" si="3"/>
        <v>0.55097976435016793</v>
      </c>
      <c r="F19" s="2">
        <f t="shared" si="3"/>
        <v>17.689555776850021</v>
      </c>
      <c r="G19" s="2">
        <f t="shared" si="3"/>
        <v>5.681163430997082E-2</v>
      </c>
      <c r="H19" s="2">
        <f t="shared" si="3"/>
        <v>-0.95574112939731082</v>
      </c>
      <c r="I19" s="2">
        <f t="shared" si="3"/>
        <v>-2.1168793713786189</v>
      </c>
      <c r="J19" s="2">
        <f t="shared" si="3"/>
        <v>154.51466422123877</v>
      </c>
      <c r="K19" s="2">
        <f t="shared" si="3"/>
        <v>-8.2715488767484899</v>
      </c>
      <c r="L19" s="2">
        <f t="shared" si="3"/>
        <v>23.885760071900627</v>
      </c>
      <c r="M19" s="2">
        <f t="shared" si="3"/>
        <v>0.86891212172878307</v>
      </c>
      <c r="N19" s="2">
        <f t="shared" si="3"/>
        <v>0.10165948354881425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-131.06987533175698</v>
      </c>
      <c r="D20" s="2">
        <f t="shared" si="4"/>
        <v>111.07965825882138</v>
      </c>
      <c r="E20" s="2">
        <f t="shared" si="4"/>
        <v>-3.4146326171164367</v>
      </c>
      <c r="F20" s="2">
        <f t="shared" si="4"/>
        <v>-113.55017839050292</v>
      </c>
      <c r="G20" s="2">
        <f t="shared" si="4"/>
        <v>0.85046719041309404</v>
      </c>
      <c r="H20" s="2">
        <f t="shared" si="4"/>
        <v>7.4070272505691799</v>
      </c>
      <c r="I20" s="2">
        <f t="shared" si="4"/>
        <v>28.291496984451829</v>
      </c>
      <c r="J20" s="2">
        <f t="shared" si="4"/>
        <v>-921.26981424068435</v>
      </c>
      <c r="K20" s="2">
        <f t="shared" si="4"/>
        <v>59.257751812429575</v>
      </c>
      <c r="L20" s="2">
        <f t="shared" si="4"/>
        <v>-166.2309689339624</v>
      </c>
      <c r="M20" s="2">
        <f t="shared" si="4"/>
        <v>-5.0332776056058179</v>
      </c>
      <c r="N20" s="2">
        <f t="shared" si="4"/>
        <v>0.20919710257232027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9.0029828101661578E-3</v>
      </c>
      <c r="D21" s="2">
        <f t="shared" si="5"/>
        <v>0.27764398861570921</v>
      </c>
      <c r="E21" s="2">
        <f t="shared" si="5"/>
        <v>0.50918577999100323</v>
      </c>
      <c r="F21" s="2">
        <f t="shared" si="5"/>
        <v>0.54260166938695331</v>
      </c>
      <c r="G21" s="2">
        <f t="shared" si="5"/>
        <v>3.3460076065555878E-4</v>
      </c>
      <c r="H21" s="2">
        <f t="shared" si="5"/>
        <v>0.38025072191260095</v>
      </c>
      <c r="I21" s="2">
        <f t="shared" si="5"/>
        <v>8.6035753634638827E-3</v>
      </c>
      <c r="J21" s="2">
        <f t="shared" si="5"/>
        <v>0.12499288726969697</v>
      </c>
      <c r="K21" s="2">
        <f t="shared" si="5"/>
        <v>0.21402154040990004</v>
      </c>
      <c r="L21" s="2">
        <f t="shared" si="5"/>
        <v>0.89234324490835493</v>
      </c>
      <c r="M21" s="2">
        <f t="shared" si="5"/>
        <v>0.11833258565528411</v>
      </c>
      <c r="N21" s="2">
        <f t="shared" si="5"/>
        <v>2.3019779106987124E-3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0.1650888203128475</v>
      </c>
      <c r="D24" s="2">
        <f t="shared" si="8"/>
        <v>-1.0738141416322635</v>
      </c>
      <c r="E24" s="2">
        <f t="shared" si="8"/>
        <v>1.7641690240597787</v>
      </c>
      <c r="F24" s="2">
        <f t="shared" si="8"/>
        <v>1.8864873726003557</v>
      </c>
      <c r="G24" s="2">
        <f t="shared" si="8"/>
        <v>3.1688140800538452E-2</v>
      </c>
      <c r="H24" s="2">
        <f t="shared" si="8"/>
        <v>-1.3567119059349932</v>
      </c>
      <c r="I24" s="2">
        <f t="shared" si="8"/>
        <v>-0.16135277421411434</v>
      </c>
      <c r="J24" s="2">
        <f t="shared" si="8"/>
        <v>0.65463238424921577</v>
      </c>
      <c r="K24" s="2">
        <f t="shared" si="8"/>
        <v>-0.90382437211055944</v>
      </c>
      <c r="L24" s="2">
        <f t="shared" si="8"/>
        <v>4.9866163286102028</v>
      </c>
      <c r="M24" s="2">
        <f t="shared" si="8"/>
        <v>0.63454205321504453</v>
      </c>
      <c r="N24" s="2">
        <f t="shared" si="8"/>
        <v>8.3197762702402839E-2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0.8793713971138295</v>
      </c>
      <c r="D25" s="2">
        <f t="shared" si="9"/>
        <v>0.36159221015888637</v>
      </c>
      <c r="E25" s="2">
        <f t="shared" si="9"/>
        <v>0.17589565723317471</v>
      </c>
      <c r="F25" s="2">
        <f t="shared" si="9"/>
        <v>0.15569363359857591</v>
      </c>
      <c r="G25" s="2">
        <f t="shared" si="9"/>
        <v>0.97671107943934166</v>
      </c>
      <c r="H25" s="2">
        <f t="shared" si="9"/>
        <v>0.26793701234719558</v>
      </c>
      <c r="I25" s="2">
        <f t="shared" si="9"/>
        <v>0.88206964646212094</v>
      </c>
      <c r="J25" s="2">
        <f t="shared" si="9"/>
        <v>0.55941632459733392</v>
      </c>
      <c r="K25" s="2">
        <f t="shared" si="9"/>
        <v>0.43271116116743752</v>
      </c>
      <c r="L25" s="2">
        <f t="shared" si="9"/>
        <v>1.5505920912637959E-2</v>
      </c>
      <c r="M25" s="2">
        <f t="shared" si="9"/>
        <v>0.57081016323412592</v>
      </c>
      <c r="N25" s="2">
        <f t="shared" si="9"/>
        <v>0.93893477209429144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0.1927037037037076</v>
      </c>
    </row>
  </sheetData>
  <conditionalFormatting sqref="C25:N25">
    <cfRule type="cellIs" dxfId="11" priority="1" operator="lessThan">
      <formula>0.05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A3E2-9E93-544A-B4B5-B4CB2C981236}">
  <dimension ref="A1:V26"/>
  <sheetViews>
    <sheetView zoomScaleNormal="100" workbookViewId="0">
      <selection activeCell="A28" sqref="A28:B28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63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0</v>
      </c>
      <c r="B3">
        <v>6.3524166666666666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</v>
      </c>
      <c r="B4">
        <v>6.2183333333333337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88.6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1.8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8.1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1.4890000000000001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0.70899999999999996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11.5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115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0.78800000000000003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0.82399999999999995</v>
      </c>
      <c r="O4" s="1"/>
      <c r="P4" s="1"/>
      <c r="T4" s="1"/>
      <c r="U4" s="1"/>
      <c r="V4" s="1"/>
    </row>
    <row r="5" spans="1:22" x14ac:dyDescent="0.2">
      <c r="A5" t="s">
        <v>4</v>
      </c>
      <c r="B5">
        <v>6.1792727272727284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111.1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-3.5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0.51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13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0.92400000000000004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0.54100000000000004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11.68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150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4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1.1970000000000001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1.1970000000000001</v>
      </c>
      <c r="O5" s="1"/>
      <c r="P5" s="1"/>
      <c r="T5" s="1"/>
      <c r="U5" s="1"/>
      <c r="V5" s="1"/>
    </row>
    <row r="6" spans="1:22" x14ac:dyDescent="0.2">
      <c r="A6" t="s">
        <v>6</v>
      </c>
      <c r="B6">
        <v>6.1564545454545456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168.6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0.47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11.3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1.1719999999999999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0.72099999999999997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15.71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200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3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1.302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0.89700000000000002</v>
      </c>
      <c r="O6" s="1"/>
      <c r="P6" s="1"/>
      <c r="T6" s="1"/>
      <c r="U6" s="1"/>
      <c r="V6" s="1"/>
    </row>
    <row r="7" spans="1:22" x14ac:dyDescent="0.2">
      <c r="M7" t="str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/>
      </c>
      <c r="N7" t="str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/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6.2824881552753826</v>
      </c>
      <c r="C15" s="1">
        <f t="shared" si="0"/>
        <v>130.10000000000002</v>
      </c>
      <c r="D15" s="1">
        <f t="shared" si="0"/>
        <v>-2.52</v>
      </c>
      <c r="E15" s="1">
        <f t="shared" si="0"/>
        <v>0.46600000000000003</v>
      </c>
      <c r="F15" s="1">
        <f t="shared" si="0"/>
        <v>11.040000000000001</v>
      </c>
      <c r="G15" s="1">
        <f t="shared" si="0"/>
        <v>1.2505999999999999</v>
      </c>
      <c r="H15" s="1">
        <f t="shared" si="0"/>
        <v>0.67559999999999998</v>
      </c>
      <c r="I15" s="1">
        <f t="shared" si="0"/>
        <v>13.382</v>
      </c>
      <c r="J15" s="1">
        <f t="shared" si="0"/>
        <v>167</v>
      </c>
      <c r="K15" s="1">
        <f t="shared" si="0"/>
        <v>1</v>
      </c>
      <c r="L15" s="1">
        <f t="shared" si="0"/>
        <v>2</v>
      </c>
      <c r="M15" s="1">
        <f t="shared" si="0"/>
        <v>1.0866</v>
      </c>
      <c r="N15" s="1">
        <f t="shared" si="0"/>
        <v>0.92520000000000002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0.14618905960865591</v>
      </c>
      <c r="C16" s="1">
        <f t="shared" si="1"/>
        <v>30.91148653817854</v>
      </c>
      <c r="D16" s="1">
        <f t="shared" si="1"/>
        <v>2.4211567483333254</v>
      </c>
      <c r="E16" s="1">
        <f t="shared" si="1"/>
        <v>6.1073725938409061E-2</v>
      </c>
      <c r="F16" s="1">
        <f t="shared" si="1"/>
        <v>1.8994736112933961</v>
      </c>
      <c r="G16" s="1">
        <f t="shared" si="1"/>
        <v>0.24565789219970061</v>
      </c>
      <c r="H16" s="1">
        <f t="shared" si="1"/>
        <v>0.12259200626468204</v>
      </c>
      <c r="I16" s="1">
        <f t="shared" si="1"/>
        <v>1.8051509632161018</v>
      </c>
      <c r="J16" s="1">
        <f t="shared" si="1"/>
        <v>34.568772034887211</v>
      </c>
      <c r="K16" s="1">
        <f t="shared" si="1"/>
        <v>1.4142135623730951</v>
      </c>
      <c r="L16" s="1">
        <f t="shared" si="1"/>
        <v>2</v>
      </c>
      <c r="M16" s="1">
        <f t="shared" si="1"/>
        <v>0.19979314302548118</v>
      </c>
      <c r="N16" s="1">
        <f t="shared" si="1"/>
        <v>0.16759236259448063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0.14295946849969154</v>
      </c>
      <c r="D18" s="1">
        <f t="shared" si="2"/>
        <v>-0.2045556372680033</v>
      </c>
      <c r="E18" s="1">
        <f t="shared" si="2"/>
        <v>0.30888385591818435</v>
      </c>
      <c r="F18" s="1">
        <f t="shared" si="2"/>
        <v>0.17768666710123993</v>
      </c>
      <c r="G18" s="1">
        <f t="shared" si="2"/>
        <v>0.5492150602499325</v>
      </c>
      <c r="H18" s="1">
        <f t="shared" si="2"/>
        <v>-9.4091376951808442E-2</v>
      </c>
      <c r="I18" s="1">
        <f t="shared" si="2"/>
        <v>0.11340075276681882</v>
      </c>
      <c r="J18" s="1">
        <f t="shared" si="2"/>
        <v>0.34533007779729424</v>
      </c>
      <c r="K18" s="1">
        <f t="shared" si="2"/>
        <v>-0.28809237115632169</v>
      </c>
      <c r="L18" s="1">
        <f t="shared" si="2"/>
        <v>0.53090216355031294</v>
      </c>
      <c r="M18" s="1">
        <f t="shared" si="2"/>
        <v>-0.10020283421108642</v>
      </c>
      <c r="N18" s="1">
        <f t="shared" si="2"/>
        <v>-0.54262428033519838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30.228593698209508</v>
      </c>
      <c r="D19" s="2">
        <f t="shared" si="3"/>
        <v>-3.3878134445002299</v>
      </c>
      <c r="E19" s="2">
        <f t="shared" si="3"/>
        <v>0.12904308991142519</v>
      </c>
      <c r="F19" s="2">
        <f t="shared" si="3"/>
        <v>2.3087304627376968</v>
      </c>
      <c r="G19" s="2">
        <f t="shared" si="3"/>
        <v>0.92290773623214206</v>
      </c>
      <c r="H19" s="2">
        <f t="shared" si="3"/>
        <v>-7.8903651912169054E-2</v>
      </c>
      <c r="I19" s="2">
        <f t="shared" si="3"/>
        <v>1.4002790539486629</v>
      </c>
      <c r="J19" s="2">
        <f t="shared" si="3"/>
        <v>81.658892725086645</v>
      </c>
      <c r="K19" s="2">
        <f t="shared" si="3"/>
        <v>-2.7869673667520454</v>
      </c>
      <c r="L19" s="2">
        <f t="shared" si="3"/>
        <v>7.2632270153665859</v>
      </c>
      <c r="M19" s="2">
        <f t="shared" si="3"/>
        <v>-0.1369448523760029</v>
      </c>
      <c r="N19" s="2">
        <f t="shared" si="3"/>
        <v>-0.62206902066371395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-59.810781859633295</v>
      </c>
      <c r="D20" s="2">
        <f t="shared" si="4"/>
        <v>18.76389783735539</v>
      </c>
      <c r="E20" s="2">
        <f t="shared" si="4"/>
        <v>-0.34471168388866497</v>
      </c>
      <c r="F20" s="2">
        <f t="shared" si="4"/>
        <v>-3.4645717858730318</v>
      </c>
      <c r="G20" s="2">
        <f t="shared" si="4"/>
        <v>-4.5475569212904503</v>
      </c>
      <c r="H20" s="2">
        <f t="shared" si="4"/>
        <v>1.1713112585461738</v>
      </c>
      <c r="I20" s="2">
        <f t="shared" si="4"/>
        <v>4.5847634294873068</v>
      </c>
      <c r="J20" s="2">
        <f t="shared" si="4"/>
        <v>-346.02102631825994</v>
      </c>
      <c r="K20" s="2">
        <f t="shared" si="4"/>
        <v>18.509089470758749</v>
      </c>
      <c r="L20" s="2">
        <f t="shared" si="4"/>
        <v>-43.631137693116749</v>
      </c>
      <c r="M20" s="2">
        <f t="shared" si="4"/>
        <v>1.9469544129781742</v>
      </c>
      <c r="N20" s="2">
        <f t="shared" si="4"/>
        <v>4.8333412540835399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2.043740963371429E-2</v>
      </c>
      <c r="D21" s="2">
        <f t="shared" si="5"/>
        <v>4.1843008738118942E-2</v>
      </c>
      <c r="E21" s="2">
        <f t="shared" si="5"/>
        <v>9.5409236446885662E-2</v>
      </c>
      <c r="F21" s="2">
        <f t="shared" si="5"/>
        <v>3.1572551665546851E-2</v>
      </c>
      <c r="G21" s="2">
        <f t="shared" si="5"/>
        <v>0.30163718240533699</v>
      </c>
      <c r="H21" s="2">
        <f t="shared" si="5"/>
        <v>8.8531872166873055E-3</v>
      </c>
      <c r="I21" s="2">
        <f t="shared" si="5"/>
        <v>1.2859730728081161E-2</v>
      </c>
      <c r="J21" s="2">
        <f t="shared" si="5"/>
        <v>0.11925286263148525</v>
      </c>
      <c r="K21" s="2">
        <f t="shared" si="5"/>
        <v>8.2997214318471776E-2</v>
      </c>
      <c r="L21" s="2">
        <f t="shared" si="5"/>
        <v>0.28185710726240309</v>
      </c>
      <c r="M21" s="2">
        <f t="shared" si="5"/>
        <v>1.004060798393447E-2</v>
      </c>
      <c r="N21" s="2">
        <f t="shared" si="5"/>
        <v>0.29444110960929182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0.25018280458968128</v>
      </c>
      <c r="D24" s="2">
        <f t="shared" si="8"/>
        <v>-0.36195430259375028</v>
      </c>
      <c r="E24" s="2">
        <f t="shared" si="8"/>
        <v>0.56250937242057342</v>
      </c>
      <c r="F24" s="2">
        <f t="shared" si="8"/>
        <v>0.31273891386853581</v>
      </c>
      <c r="G24" s="2">
        <f t="shared" si="8"/>
        <v>1.1383151364435267</v>
      </c>
      <c r="H24" s="2">
        <f t="shared" si="8"/>
        <v>-0.16369727769877854</v>
      </c>
      <c r="I24" s="2">
        <f t="shared" si="8"/>
        <v>0.19769110567955453</v>
      </c>
      <c r="J24" s="2">
        <f t="shared" si="8"/>
        <v>0.63733741372198105</v>
      </c>
      <c r="K24" s="2">
        <f t="shared" si="8"/>
        <v>-0.52108318373205276</v>
      </c>
      <c r="L24" s="2">
        <f t="shared" si="8"/>
        <v>1.0850998143712278</v>
      </c>
      <c r="M24" s="2">
        <f t="shared" si="8"/>
        <v>-0.17443432252048247</v>
      </c>
      <c r="N24" s="2">
        <f t="shared" si="8"/>
        <v>-1.1189050035374941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0.81860027462894314</v>
      </c>
      <c r="D25" s="2">
        <f t="shared" si="9"/>
        <v>0.74137957111090458</v>
      </c>
      <c r="E25" s="2">
        <f t="shared" si="9"/>
        <v>0.61306336729658839</v>
      </c>
      <c r="F25" s="2">
        <f t="shared" si="9"/>
        <v>0.77495849496408631</v>
      </c>
      <c r="G25" s="2">
        <f t="shared" si="9"/>
        <v>0.33766506407799324</v>
      </c>
      <c r="H25" s="2">
        <f t="shared" si="9"/>
        <v>0.88037614344831816</v>
      </c>
      <c r="I25" s="2">
        <f t="shared" si="9"/>
        <v>0.85592373841094815</v>
      </c>
      <c r="J25" s="2">
        <f t="shared" si="9"/>
        <v>0.56921449103358368</v>
      </c>
      <c r="K25" s="2">
        <f t="shared" si="9"/>
        <v>0.63832856501827329</v>
      </c>
      <c r="L25" s="2">
        <f t="shared" si="9"/>
        <v>0.35728849491458564</v>
      </c>
      <c r="M25" s="2">
        <f t="shared" si="9"/>
        <v>0.87263161219225571</v>
      </c>
      <c r="N25" s="2">
        <f t="shared" si="9"/>
        <v>0.34469587047382155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0.34950895819508965</v>
      </c>
    </row>
  </sheetData>
  <conditionalFormatting sqref="C25:N25">
    <cfRule type="cellIs" dxfId="10" priority="1" operator="lessThan">
      <formula>0.05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4F76-0849-DA42-8A6D-A0CDB150F3BD}">
  <dimension ref="A1:V26"/>
  <sheetViews>
    <sheetView topLeftCell="A2" workbookViewId="0">
      <selection activeCell="F40" sqref="F40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79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4</v>
      </c>
      <c r="B3">
        <v>7.0352500000000013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111.1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0.51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13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0.92400000000000004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0.54100000000000004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11.68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150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4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1.1970000000000001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1.1970000000000001</v>
      </c>
      <c r="O3" s="1"/>
      <c r="P3" s="1"/>
      <c r="T3" s="1"/>
      <c r="U3" s="1"/>
      <c r="V3" s="1"/>
    </row>
    <row r="4" spans="1:22" x14ac:dyDescent="0.2">
      <c r="A4" t="s">
        <v>16</v>
      </c>
      <c r="B4">
        <v>7.0753846153846158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153.19999999999999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-3.2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0.32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10.4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1.0029999999999999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0.86299999999999999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13.69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0.97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1.0680000000000001</v>
      </c>
      <c r="O4" s="1"/>
      <c r="P4" s="1"/>
      <c r="T4" s="1"/>
      <c r="U4" s="1"/>
      <c r="V4" s="1"/>
    </row>
    <row r="5" spans="1:22" x14ac:dyDescent="0.2">
      <c r="A5" t="s">
        <v>6</v>
      </c>
      <c r="B5">
        <v>6.8752222222222219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168.6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-3.9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0.47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11.3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1.1719999999999999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0.72099999999999997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15.71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200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3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1.302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0.89700000000000002</v>
      </c>
      <c r="O5" s="1"/>
      <c r="P5" s="1"/>
      <c r="T5" s="1"/>
      <c r="U5" s="1"/>
      <c r="V5" s="1"/>
    </row>
    <row r="6" spans="1:22" x14ac:dyDescent="0.2">
      <c r="A6" t="s">
        <v>0</v>
      </c>
      <c r="B6">
        <v>7.0622500000000006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143.80000000000001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0.49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10.5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1.1639999999999999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0.84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14.45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180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2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2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0.997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0.94699999999999995</v>
      </c>
      <c r="O6" s="1"/>
      <c r="P6" s="1"/>
      <c r="T6" s="1"/>
      <c r="U6" s="1"/>
      <c r="V6" s="1"/>
    </row>
    <row r="7" spans="1:22" x14ac:dyDescent="0.2">
      <c r="M7" t="str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/>
      </c>
      <c r="N7" t="str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/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7.0405621082621082</v>
      </c>
      <c r="C15" s="1">
        <f t="shared" si="0"/>
        <v>143.01999999999998</v>
      </c>
      <c r="D15" s="1">
        <f t="shared" si="0"/>
        <v>-3.5200000000000005</v>
      </c>
      <c r="E15" s="1">
        <f t="shared" si="0"/>
        <v>0.45800000000000002</v>
      </c>
      <c r="F15" s="1">
        <f t="shared" si="0"/>
        <v>11.5</v>
      </c>
      <c r="G15" s="1">
        <f t="shared" si="0"/>
        <v>1.1534</v>
      </c>
      <c r="H15" s="1">
        <f t="shared" si="0"/>
        <v>0.70640000000000003</v>
      </c>
      <c r="I15" s="1">
        <f t="shared" si="0"/>
        <v>13.819999999999999</v>
      </c>
      <c r="J15" s="1">
        <f t="shared" si="0"/>
        <v>183</v>
      </c>
      <c r="K15" s="1">
        <f t="shared" si="0"/>
        <v>1.4</v>
      </c>
      <c r="L15" s="1">
        <f t="shared" si="0"/>
        <v>2.4</v>
      </c>
      <c r="M15" s="1">
        <f t="shared" si="0"/>
        <v>1.123</v>
      </c>
      <c r="N15" s="1">
        <f t="shared" si="0"/>
        <v>0.97399999999999998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0.10256311699406889</v>
      </c>
      <c r="C16" s="1">
        <f t="shared" si="1"/>
        <v>21.206178345001362</v>
      </c>
      <c r="D16" s="1">
        <f t="shared" si="1"/>
        <v>0.24899799195977457</v>
      </c>
      <c r="E16" s="1">
        <f t="shared" si="1"/>
        <v>7.8549347546621975E-2</v>
      </c>
      <c r="F16" s="1">
        <f t="shared" si="1"/>
        <v>1.1335784048754634</v>
      </c>
      <c r="G16" s="1">
        <f t="shared" si="1"/>
        <v>0.22283581399766167</v>
      </c>
      <c r="H16" s="1">
        <f t="shared" si="1"/>
        <v>0.14947842653707599</v>
      </c>
      <c r="I16" s="1">
        <f t="shared" si="1"/>
        <v>1.4686728703152383</v>
      </c>
      <c r="J16" s="1">
        <f t="shared" si="1"/>
        <v>19.874606914351791</v>
      </c>
      <c r="K16" s="1">
        <f t="shared" si="1"/>
        <v>1.3416407864998738</v>
      </c>
      <c r="L16" s="1">
        <f t="shared" si="1"/>
        <v>1.6733200530681511</v>
      </c>
      <c r="M16" s="1">
        <f t="shared" si="1"/>
        <v>0.13917435108524862</v>
      </c>
      <c r="N16" s="1">
        <f t="shared" si="1"/>
        <v>0.16627687752661258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-0.4845759813773643</v>
      </c>
      <c r="D18" s="1">
        <f t="shared" si="2"/>
        <v>0.74969335914341728</v>
      </c>
      <c r="E18" s="1">
        <f t="shared" si="2"/>
        <v>-4.8963586731301093E-2</v>
      </c>
      <c r="F18" s="1">
        <f t="shared" si="2"/>
        <v>0.12132036683876046</v>
      </c>
      <c r="G18" s="1">
        <f t="shared" si="2"/>
        <v>0.36265903693912188</v>
      </c>
      <c r="H18" s="1">
        <f t="shared" si="2"/>
        <v>-0.14832670561012001</v>
      </c>
      <c r="I18" s="1">
        <f t="shared" si="2"/>
        <v>-0.53196554118893047</v>
      </c>
      <c r="J18" s="1">
        <f t="shared" si="2"/>
        <v>-0.18196621397022503</v>
      </c>
      <c r="K18" s="1">
        <f t="shared" si="2"/>
        <v>-0.6958410198654752</v>
      </c>
      <c r="L18" s="1">
        <f t="shared" si="2"/>
        <v>0.79876442984379303</v>
      </c>
      <c r="M18" s="1">
        <f t="shared" si="2"/>
        <v>-0.61442816506726539</v>
      </c>
      <c r="N18" s="1">
        <f t="shared" si="2"/>
        <v>-0.14773543031310679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-100.19200843307681</v>
      </c>
      <c r="D19" s="2">
        <f t="shared" si="3"/>
        <v>1.8200708644910242</v>
      </c>
      <c r="E19" s="2">
        <f t="shared" si="3"/>
        <v>-3.7499423808546581E-2</v>
      </c>
      <c r="F19" s="2">
        <f t="shared" si="3"/>
        <v>1.3408928272718268</v>
      </c>
      <c r="G19" s="2">
        <f t="shared" si="3"/>
        <v>0.78793843311733835</v>
      </c>
      <c r="H19" s="2">
        <f t="shared" si="3"/>
        <v>-0.21617559233609268</v>
      </c>
      <c r="I19" s="2">
        <f t="shared" si="3"/>
        <v>-7.6175859430240047</v>
      </c>
      <c r="J19" s="2">
        <f t="shared" si="3"/>
        <v>-35.261281836434343</v>
      </c>
      <c r="K19" s="2">
        <f t="shared" si="3"/>
        <v>-9.102382226011887</v>
      </c>
      <c r="L19" s="2">
        <f t="shared" si="3"/>
        <v>13.031863474005583</v>
      </c>
      <c r="M19" s="2">
        <f t="shared" si="3"/>
        <v>-0.83375626314751827</v>
      </c>
      <c r="N19" s="2">
        <f t="shared" si="3"/>
        <v>-0.23951091554612544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848.42805812459812</v>
      </c>
      <c r="D20" s="2">
        <f t="shared" si="4"/>
        <v>-16.334321962887362</v>
      </c>
      <c r="E20" s="2">
        <f t="shared" si="4"/>
        <v>0.72201702234811505</v>
      </c>
      <c r="F20" s="2">
        <f t="shared" si="4"/>
        <v>2.0593607690695279</v>
      </c>
      <c r="G20" s="2">
        <f t="shared" si="4"/>
        <v>-4.3941294758493505</v>
      </c>
      <c r="H20" s="2">
        <f t="shared" si="4"/>
        <v>2.2283976841326107</v>
      </c>
      <c r="I20" s="2">
        <f t="shared" si="4"/>
        <v>67.452086946884876</v>
      </c>
      <c r="J20" s="2">
        <f t="shared" si="4"/>
        <v>431.25924478635056</v>
      </c>
      <c r="K20" s="2">
        <f t="shared" si="4"/>
        <v>65.485887395377802</v>
      </c>
      <c r="L20" s="2">
        <f t="shared" si="4"/>
        <v>-89.351644175128698</v>
      </c>
      <c r="M20" s="2">
        <f t="shared" si="4"/>
        <v>6.9931127538426283</v>
      </c>
      <c r="N20" s="2">
        <f t="shared" si="4"/>
        <v>2.6602914765092169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0.23481388172783582</v>
      </c>
      <c r="D21" s="2">
        <f t="shared" si="5"/>
        <v>0.56204013274374087</v>
      </c>
      <c r="E21" s="2">
        <f t="shared" si="5"/>
        <v>2.3974328255936444E-3</v>
      </c>
      <c r="F21" s="2">
        <f t="shared" si="5"/>
        <v>1.4718631409891415E-2</v>
      </c>
      <c r="G21" s="2">
        <f t="shared" si="5"/>
        <v>0.13152157707361137</v>
      </c>
      <c r="H21" s="2">
        <f t="shared" si="5"/>
        <v>2.2000811597151216E-2</v>
      </c>
      <c r="I21" s="2">
        <f t="shared" si="5"/>
        <v>0.28298733701243167</v>
      </c>
      <c r="J21" s="2">
        <f t="shared" si="5"/>
        <v>3.3111703026657717E-2</v>
      </c>
      <c r="K21" s="2">
        <f t="shared" si="5"/>
        <v>0.48419472492742449</v>
      </c>
      <c r="L21" s="2">
        <f t="shared" si="5"/>
        <v>0.63802461438368008</v>
      </c>
      <c r="M21" s="2">
        <f t="shared" si="5"/>
        <v>0.37752197002792659</v>
      </c>
      <c r="N21" s="2">
        <f t="shared" si="5"/>
        <v>2.1825757369798842E-2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-0.95948672413644753</v>
      </c>
      <c r="D24" s="2">
        <f t="shared" si="8"/>
        <v>1.9621270881457222</v>
      </c>
      <c r="E24" s="2">
        <f t="shared" si="8"/>
        <v>-8.490926314393743E-2</v>
      </c>
      <c r="F24" s="2">
        <f t="shared" si="8"/>
        <v>0.21169675791190043</v>
      </c>
      <c r="G24" s="2">
        <f t="shared" si="8"/>
        <v>0.67403060227334488</v>
      </c>
      <c r="H24" s="2">
        <f t="shared" si="8"/>
        <v>-0.25978300202866644</v>
      </c>
      <c r="I24" s="2">
        <f t="shared" si="8"/>
        <v>-1.0881298286613192</v>
      </c>
      <c r="J24" s="2">
        <f t="shared" si="8"/>
        <v>-0.3205259785081877</v>
      </c>
      <c r="K24" s="2">
        <f t="shared" si="8"/>
        <v>-1.6781383586886307</v>
      </c>
      <c r="L24" s="2">
        <f t="shared" si="8"/>
        <v>2.2995339429777166</v>
      </c>
      <c r="M24" s="2">
        <f t="shared" si="8"/>
        <v>-1.3488688602797265</v>
      </c>
      <c r="N24" s="2">
        <f t="shared" si="8"/>
        <v>-0.25872427430600536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0.40809588440814221</v>
      </c>
      <c r="D25" s="2">
        <f t="shared" si="9"/>
        <v>0.14455192403047035</v>
      </c>
      <c r="E25" s="2">
        <f t="shared" si="9"/>
        <v>0.9376825443634168</v>
      </c>
      <c r="F25" s="2">
        <f t="shared" si="9"/>
        <v>0.84590988328266437</v>
      </c>
      <c r="G25" s="2">
        <f t="shared" si="9"/>
        <v>0.54857960657576743</v>
      </c>
      <c r="H25" s="2">
        <f t="shared" si="9"/>
        <v>0.81183937179262433</v>
      </c>
      <c r="I25" s="2">
        <f t="shared" si="9"/>
        <v>0.35614157741732266</v>
      </c>
      <c r="J25" s="2">
        <f t="shared" si="9"/>
        <v>0.76959843687451324</v>
      </c>
      <c r="K25" s="2">
        <f t="shared" si="9"/>
        <v>0.19191281252869818</v>
      </c>
      <c r="L25" s="2">
        <f t="shared" si="9"/>
        <v>0.10503323872925817</v>
      </c>
      <c r="M25" s="2">
        <f t="shared" si="9"/>
        <v>0.27016122412145133</v>
      </c>
      <c r="N25" s="2">
        <f t="shared" si="9"/>
        <v>0.81258391266961327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0.27948148148148544</v>
      </c>
    </row>
  </sheetData>
  <conditionalFormatting sqref="C25:N25">
    <cfRule type="cellIs" dxfId="9" priority="1" operator="lessThan">
      <formula>0.05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C534B-1A82-4CA6-A434-8BFA0BBA42A5}">
  <dimension ref="A1:V26"/>
  <sheetViews>
    <sheetView workbookViewId="0">
      <selection activeCell="F37" sqref="F37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79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5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138.4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12.3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1.504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0.56699999999999995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13.57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1.149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0.76100000000000001</v>
      </c>
      <c r="O2" s="1"/>
      <c r="P2" s="1"/>
    </row>
    <row r="3" spans="1:22" x14ac:dyDescent="0.2">
      <c r="A3" t="s">
        <v>1</v>
      </c>
      <c r="B3">
        <v>6.1685000000000008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4</v>
      </c>
      <c r="B4">
        <v>6.2208749999999995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111.1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0.51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0.92400000000000004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0.54100000000000004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11.68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150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1.1970000000000001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1.1970000000000001</v>
      </c>
      <c r="O4" s="1"/>
      <c r="P4" s="1"/>
      <c r="T4" s="1"/>
      <c r="U4" s="1"/>
      <c r="V4" s="1"/>
    </row>
    <row r="5" spans="1:22" x14ac:dyDescent="0.2">
      <c r="A5" t="s">
        <v>16</v>
      </c>
      <c r="B5">
        <v>6.4519333333333329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153.19999999999999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-3.2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0.32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10.4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1.0029999999999999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0.86299999999999999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13.69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195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0.97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1.0680000000000001</v>
      </c>
      <c r="O5" s="1"/>
      <c r="P5" s="1"/>
      <c r="T5" s="1"/>
      <c r="U5" s="1"/>
      <c r="V5" s="1"/>
    </row>
    <row r="6" spans="1:22" x14ac:dyDescent="0.2">
      <c r="A6" t="s">
        <v>0</v>
      </c>
      <c r="B6">
        <v>6.3637272727272718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143.80000000000001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0.49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10.5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1.1639999999999999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0.84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14.45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180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2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2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0.997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0.94699999999999995</v>
      </c>
      <c r="O6" s="1"/>
      <c r="P6" s="1"/>
      <c r="T6" s="1"/>
      <c r="U6" s="1"/>
      <c r="V6" s="1"/>
    </row>
    <row r="7" spans="1:22" x14ac:dyDescent="0.2">
      <c r="A7" t="s">
        <v>6</v>
      </c>
      <c r="B7">
        <v>6.190666666666667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168.6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-3.9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0.47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11.3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1.1719999999999999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0.72099999999999997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15.71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200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3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1.302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0.89700000000000002</v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6.3169442960628182</v>
      </c>
      <c r="C15" s="1">
        <f t="shared" si="0"/>
        <v>133.95000000000002</v>
      </c>
      <c r="D15" s="1">
        <f t="shared" si="0"/>
        <v>-2.6333333333333333</v>
      </c>
      <c r="E15" s="1">
        <f t="shared" si="0"/>
        <v>0.44166666666666671</v>
      </c>
      <c r="F15" s="1">
        <f t="shared" si="0"/>
        <v>10.933333333333332</v>
      </c>
      <c r="G15" s="1">
        <f t="shared" si="0"/>
        <v>1.2093333333333331</v>
      </c>
      <c r="H15" s="1">
        <f t="shared" si="0"/>
        <v>0.70683333333333331</v>
      </c>
      <c r="I15" s="1">
        <f t="shared" si="0"/>
        <v>13.433333333333332</v>
      </c>
      <c r="J15" s="1">
        <f t="shared" si="0"/>
        <v>171.66666666666666</v>
      </c>
      <c r="K15" s="1">
        <f t="shared" si="0"/>
        <v>1.1666666666666667</v>
      </c>
      <c r="L15" s="1">
        <f t="shared" si="0"/>
        <v>2</v>
      </c>
      <c r="M15" s="1">
        <f t="shared" si="0"/>
        <v>1.0671666666666668</v>
      </c>
      <c r="N15" s="1">
        <f t="shared" si="0"/>
        <v>0.94899999999999995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0.14377065506636469</v>
      </c>
      <c r="C16" s="1">
        <f t="shared" si="1"/>
        <v>29.212172120539034</v>
      </c>
      <c r="D16" s="1">
        <f t="shared" si="1"/>
        <v>2.1832697191750419</v>
      </c>
      <c r="E16" s="1">
        <f t="shared" si="1"/>
        <v>8.0849654709631472E-2</v>
      </c>
      <c r="F16" s="1">
        <f t="shared" si="1"/>
        <v>1.7189143860782328</v>
      </c>
      <c r="G16" s="1">
        <f t="shared" si="1"/>
        <v>0.2418591876829716</v>
      </c>
      <c r="H16" s="1">
        <f t="shared" si="1"/>
        <v>0.13370178258597246</v>
      </c>
      <c r="I16" s="1">
        <f t="shared" si="1"/>
        <v>1.6194649322127019</v>
      </c>
      <c r="J16" s="1">
        <f t="shared" si="1"/>
        <v>32.964627506869668</v>
      </c>
      <c r="K16" s="1">
        <f t="shared" si="1"/>
        <v>1.3291601358251257</v>
      </c>
      <c r="L16" s="1">
        <f t="shared" si="1"/>
        <v>1.7888543819998317</v>
      </c>
      <c r="M16" s="1">
        <f t="shared" si="1"/>
        <v>0.18493178922691089</v>
      </c>
      <c r="N16" s="1">
        <f t="shared" si="1"/>
        <v>0.16083656300729651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0.40249498729553579</v>
      </c>
      <c r="D18" s="1">
        <f t="shared" si="2"/>
        <v>-0.44330609148446781</v>
      </c>
      <c r="E18" s="1">
        <f t="shared" si="2"/>
        <v>-1.9890540573939183E-2</v>
      </c>
      <c r="F18" s="1">
        <f t="shared" si="2"/>
        <v>0.27662153624748298</v>
      </c>
      <c r="G18" s="1">
        <f t="shared" si="2"/>
        <v>9.3955999805667739E-2</v>
      </c>
      <c r="H18" s="1">
        <f t="shared" si="2"/>
        <v>0.15295145088031945</v>
      </c>
      <c r="I18" s="1">
        <f t="shared" si="2"/>
        <v>0.23706774980666512</v>
      </c>
      <c r="J18" s="1">
        <f t="shared" si="2"/>
        <v>0.58744109025256996</v>
      </c>
      <c r="K18" s="1">
        <f t="shared" si="2"/>
        <v>-1.600138407664763E-2</v>
      </c>
      <c r="L18" s="1">
        <f t="shared" si="2"/>
        <v>0.57184076995867827</v>
      </c>
      <c r="M18" s="1">
        <f t="shared" si="2"/>
        <v>-1.2166970680070667E-2</v>
      </c>
      <c r="N18" s="1">
        <f t="shared" si="2"/>
        <v>-0.15800922516456359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81.781312334592812</v>
      </c>
      <c r="D19" s="2">
        <f t="shared" si="3"/>
        <v>-6.7319493356771316</v>
      </c>
      <c r="E19" s="2">
        <f t="shared" si="3"/>
        <v>-1.1185476873904353E-2</v>
      </c>
      <c r="F19" s="2">
        <f t="shared" si="3"/>
        <v>3.3072725302348416</v>
      </c>
      <c r="G19" s="2">
        <f t="shared" si="3"/>
        <v>0.1580581362757979</v>
      </c>
      <c r="H19" s="2">
        <f t="shared" si="3"/>
        <v>0.14223960809227609</v>
      </c>
      <c r="I19" s="2">
        <f t="shared" si="3"/>
        <v>2.6703843506398979</v>
      </c>
      <c r="J19" s="2">
        <f t="shared" si="3"/>
        <v>134.69213667745032</v>
      </c>
      <c r="K19" s="2">
        <f t="shared" si="3"/>
        <v>-0.14793284361742282</v>
      </c>
      <c r="L19" s="2">
        <f t="shared" si="3"/>
        <v>7.1150810759994751</v>
      </c>
      <c r="M19" s="2">
        <f t="shared" si="3"/>
        <v>-1.5650340163632183E-2</v>
      </c>
      <c r="N19" s="2">
        <f t="shared" si="3"/>
        <v>-0.17676528417557419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-382.65799447653785</v>
      </c>
      <c r="D20" s="2">
        <f t="shared" si="4"/>
        <v>39.892015624056199</v>
      </c>
      <c r="E20" s="2">
        <f t="shared" si="4"/>
        <v>0.51232470100401939</v>
      </c>
      <c r="F20" s="2">
        <f t="shared" si="4"/>
        <v>-9.9585230120588957</v>
      </c>
      <c r="G20" s="2">
        <f t="shared" si="4"/>
        <v>0.21088889093961205</v>
      </c>
      <c r="H20" s="2">
        <f t="shared" si="4"/>
        <v>-0.19168634767938086</v>
      </c>
      <c r="I20" s="2">
        <f t="shared" si="4"/>
        <v>-3.4353358587367833</v>
      </c>
      <c r="J20" s="2">
        <f t="shared" si="4"/>
        <v>-679.17605784246666</v>
      </c>
      <c r="K20" s="2">
        <f t="shared" si="4"/>
        <v>2.1011501993560988</v>
      </c>
      <c r="L20" s="2">
        <f t="shared" si="4"/>
        <v>-42.945570819059384</v>
      </c>
      <c r="M20" s="2">
        <f t="shared" si="4"/>
        <v>1.1660289936947659</v>
      </c>
      <c r="N20" s="2">
        <f t="shared" si="4"/>
        <v>2.0656164536148163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0.16200221479803356</v>
      </c>
      <c r="D21" s="2">
        <f t="shared" si="5"/>
        <v>0.1965202907472354</v>
      </c>
      <c r="E21" s="2">
        <f t="shared" si="5"/>
        <v>3.9563360432352086E-4</v>
      </c>
      <c r="F21" s="2">
        <f t="shared" si="5"/>
        <v>7.6519474315917546E-2</v>
      </c>
      <c r="G21" s="2">
        <f t="shared" si="5"/>
        <v>8.8277298994826389E-3</v>
      </c>
      <c r="H21" s="2">
        <f t="shared" si="5"/>
        <v>2.3394146326394773E-2</v>
      </c>
      <c r="I21" s="2">
        <f t="shared" si="5"/>
        <v>5.6201117998395583E-2</v>
      </c>
      <c r="J21" s="2">
        <f t="shared" si="5"/>
        <v>0.34508703451712808</v>
      </c>
      <c r="K21" s="2">
        <f t="shared" si="5"/>
        <v>2.5604429236839233E-4</v>
      </c>
      <c r="L21" s="2">
        <f t="shared" si="5"/>
        <v>0.32700186618693411</v>
      </c>
      <c r="M21" s="2">
        <f t="shared" si="5"/>
        <v>1.4803517552969931E-4</v>
      </c>
      <c r="N21" s="2">
        <f t="shared" si="5"/>
        <v>2.4966915237105754E-2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6</v>
      </c>
      <c r="D22">
        <f t="shared" ref="D22:N22" si="6">COUNT($B2:$B13)</f>
        <v>6</v>
      </c>
      <c r="E22">
        <f t="shared" si="6"/>
        <v>6</v>
      </c>
      <c r="F22">
        <f t="shared" si="6"/>
        <v>6</v>
      </c>
      <c r="G22">
        <f t="shared" si="6"/>
        <v>6</v>
      </c>
      <c r="H22">
        <f t="shared" si="6"/>
        <v>6</v>
      </c>
      <c r="I22">
        <f t="shared" si="6"/>
        <v>6</v>
      </c>
      <c r="J22">
        <f t="shared" si="6"/>
        <v>6</v>
      </c>
      <c r="K22">
        <f t="shared" si="6"/>
        <v>6</v>
      </c>
      <c r="L22">
        <f t="shared" si="6"/>
        <v>6</v>
      </c>
      <c r="M22">
        <f t="shared" si="6"/>
        <v>6</v>
      </c>
      <c r="N22">
        <f t="shared" si="6"/>
        <v>6</v>
      </c>
    </row>
    <row r="23" spans="1:22" x14ac:dyDescent="0.2">
      <c r="A23" t="s">
        <v>34</v>
      </c>
      <c r="C23">
        <f t="shared" ref="C23:N23" si="7">C22-2</f>
        <v>4</v>
      </c>
      <c r="D23">
        <f t="shared" si="7"/>
        <v>4</v>
      </c>
      <c r="E23">
        <f t="shared" si="7"/>
        <v>4</v>
      </c>
      <c r="F23">
        <f t="shared" si="7"/>
        <v>4</v>
      </c>
      <c r="G23">
        <f t="shared" si="7"/>
        <v>4</v>
      </c>
      <c r="H23">
        <f t="shared" si="7"/>
        <v>4</v>
      </c>
      <c r="I23">
        <f t="shared" si="7"/>
        <v>4</v>
      </c>
      <c r="J23">
        <f t="shared" si="7"/>
        <v>4</v>
      </c>
      <c r="K23">
        <f t="shared" si="7"/>
        <v>4</v>
      </c>
      <c r="L23">
        <f t="shared" si="7"/>
        <v>4</v>
      </c>
      <c r="M23">
        <f t="shared" si="7"/>
        <v>4</v>
      </c>
      <c r="N23">
        <f t="shared" si="7"/>
        <v>4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0.87936471689381335</v>
      </c>
      <c r="D24" s="2">
        <f t="shared" si="8"/>
        <v>-0.98911374683715203</v>
      </c>
      <c r="E24" s="2">
        <f t="shared" si="8"/>
        <v>-3.9788952849946997E-2</v>
      </c>
      <c r="F24" s="2">
        <f t="shared" si="8"/>
        <v>0.57570780034780999</v>
      </c>
      <c r="G24" s="2">
        <f t="shared" si="8"/>
        <v>0.18874694992163729</v>
      </c>
      <c r="H24" s="2">
        <f t="shared" si="8"/>
        <v>0.30954510105248262</v>
      </c>
      <c r="I24" s="2">
        <f t="shared" si="8"/>
        <v>0.48804823205027587</v>
      </c>
      <c r="J24" s="2">
        <f t="shared" si="8"/>
        <v>1.451785728063208</v>
      </c>
      <c r="K24" s="2">
        <f t="shared" si="8"/>
        <v>-3.200686600329819E-2</v>
      </c>
      <c r="L24" s="2">
        <f t="shared" si="8"/>
        <v>1.394113655790346</v>
      </c>
      <c r="M24" s="2">
        <f t="shared" si="8"/>
        <v>-2.4335742699780311E-2</v>
      </c>
      <c r="N24" s="2">
        <f t="shared" si="8"/>
        <v>-0.32003889546479902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0.42886005875018812</v>
      </c>
      <c r="D25" s="2">
        <f t="shared" si="9"/>
        <v>0.37860018376757204</v>
      </c>
      <c r="E25" s="2">
        <f t="shared" si="9"/>
        <v>0.97016812382222084</v>
      </c>
      <c r="F25" s="2">
        <f t="shared" si="9"/>
        <v>0.59565116289783493</v>
      </c>
      <c r="G25" s="2">
        <f t="shared" si="9"/>
        <v>0.85948070938585852</v>
      </c>
      <c r="H25" s="2">
        <f t="shared" si="9"/>
        <v>0.77236190799088522</v>
      </c>
      <c r="I25" s="2">
        <f t="shared" si="9"/>
        <v>0.65106011158025145</v>
      </c>
      <c r="J25" s="2">
        <f t="shared" si="9"/>
        <v>0.22019751651552921</v>
      </c>
      <c r="K25" s="2">
        <f t="shared" si="9"/>
        <v>0.97599997241656</v>
      </c>
      <c r="L25" s="2">
        <f t="shared" si="9"/>
        <v>0.23573534453111297</v>
      </c>
      <c r="M25" s="2">
        <f t="shared" si="9"/>
        <v>0.98175044454971416</v>
      </c>
      <c r="N25" s="2">
        <f t="shared" si="9"/>
        <v>0.76495866371883681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0.33746350364963451</v>
      </c>
    </row>
  </sheetData>
  <conditionalFormatting sqref="C25:N25">
    <cfRule type="cellIs" dxfId="8" priority="1" operator="lessThan">
      <formula>0.05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8402-5742-C34C-B39B-7B8E82869E25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61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0</v>
      </c>
      <c r="B3">
        <v>7.142500000000001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</v>
      </c>
      <c r="B4">
        <v>7.2004285714285725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88.6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1.8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8.1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1.4890000000000001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0.70899999999999996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11.5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115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0.78800000000000003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0.82399999999999995</v>
      </c>
      <c r="O4" s="1"/>
      <c r="P4" s="1"/>
      <c r="T4" s="1"/>
      <c r="U4" s="1"/>
      <c r="V4" s="1"/>
    </row>
    <row r="5" spans="1:22" x14ac:dyDescent="0.2">
      <c r="A5" t="s">
        <v>17</v>
      </c>
      <c r="B5">
        <v>7.2414285714285711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162.9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1.9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5.7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1.363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1.21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16.25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0.436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0.81</v>
      </c>
      <c r="O5" s="1"/>
      <c r="P5" s="1"/>
      <c r="T5" s="1"/>
      <c r="U5" s="1"/>
      <c r="V5" s="1"/>
    </row>
    <row r="6" spans="1:22" x14ac:dyDescent="0.2">
      <c r="A6" t="s">
        <v>5</v>
      </c>
      <c r="B6">
        <v>7.0482500000000003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138.4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12.3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1.504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0.56699999999999995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13.57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190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1.149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0.76100000000000001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7.1344285714285718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0.89300000000000002</v>
      </c>
      <c r="O7" s="1"/>
      <c r="P7" s="1"/>
      <c r="T7" s="1"/>
      <c r="U7" s="1"/>
      <c r="V7" s="1"/>
    </row>
    <row r="8" spans="1:22" x14ac:dyDescent="0.2">
      <c r="A8" t="s">
        <v>16</v>
      </c>
      <c r="B8">
        <v>7.2593750000000004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153.19999999999999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-3.2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0.32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10.4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1.0029999999999999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0.86299999999999999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13.69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195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2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2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0.97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1.0680000000000001</v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7.1687306311413463</v>
      </c>
      <c r="C15" s="1">
        <f t="shared" si="0"/>
        <v>146.98571428571427</v>
      </c>
      <c r="D15" s="1">
        <f t="shared" si="0"/>
        <v>-2.128571428571429</v>
      </c>
      <c r="E15" s="1">
        <f t="shared" si="0"/>
        <v>0.42428571428571432</v>
      </c>
      <c r="F15" s="1">
        <f t="shared" si="0"/>
        <v>9.828571428571431</v>
      </c>
      <c r="G15" s="1">
        <f t="shared" si="0"/>
        <v>1.2741428571428572</v>
      </c>
      <c r="H15" s="1">
        <f t="shared" si="0"/>
        <v>0.83285714285714285</v>
      </c>
      <c r="I15" s="1">
        <f t="shared" si="0"/>
        <v>14.207142857142856</v>
      </c>
      <c r="J15" s="1">
        <f t="shared" si="0"/>
        <v>184.28571428571428</v>
      </c>
      <c r="K15" s="1">
        <f t="shared" si="0"/>
        <v>1.7142857142857142</v>
      </c>
      <c r="L15" s="1">
        <f t="shared" si="0"/>
        <v>1.1428571428571428</v>
      </c>
      <c r="M15" s="1">
        <f t="shared" si="0"/>
        <v>0.93628571428571417</v>
      </c>
      <c r="N15" s="1">
        <f t="shared" si="0"/>
        <v>0.88571428571428557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7.1975882570033026E-2</v>
      </c>
      <c r="C16" s="1">
        <f t="shared" si="1"/>
        <v>28.721445447112089</v>
      </c>
      <c r="D16" s="1">
        <f t="shared" si="1"/>
        <v>2.7487659568821581</v>
      </c>
      <c r="E16" s="1">
        <f t="shared" si="1"/>
        <v>9.4667337355102188E-2</v>
      </c>
      <c r="F16" s="1">
        <f t="shared" si="1"/>
        <v>2.218643944480708</v>
      </c>
      <c r="G16" s="1">
        <f t="shared" si="1"/>
        <v>0.18506343828664787</v>
      </c>
      <c r="H16" s="1">
        <f t="shared" si="1"/>
        <v>0.20384751537315685</v>
      </c>
      <c r="I16" s="1">
        <f t="shared" si="1"/>
        <v>1.5544636190201426</v>
      </c>
      <c r="J16" s="1">
        <f t="shared" si="1"/>
        <v>33.841366627813606</v>
      </c>
      <c r="K16" s="1">
        <f t="shared" si="1"/>
        <v>1.8898223650461361</v>
      </c>
      <c r="L16" s="1">
        <f t="shared" si="1"/>
        <v>1.5735915849388864</v>
      </c>
      <c r="M16" s="1">
        <f t="shared" si="1"/>
        <v>0.27588688158115049</v>
      </c>
      <c r="N16" s="1">
        <f t="shared" si="1"/>
        <v>0.10186545748472178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-1.7878162482032965E-2</v>
      </c>
      <c r="D18" s="1">
        <f t="shared" si="2"/>
        <v>0.52875951724771186</v>
      </c>
      <c r="E18" s="1">
        <f t="shared" si="2"/>
        <v>-0.87174596642481028</v>
      </c>
      <c r="F18" s="1">
        <f t="shared" si="2"/>
        <v>-0.69111093231820842</v>
      </c>
      <c r="G18" s="1">
        <f t="shared" si="2"/>
        <v>-0.4123938711801336</v>
      </c>
      <c r="H18" s="1">
        <f t="shared" si="2"/>
        <v>0.64347595617032094</v>
      </c>
      <c r="I18" s="1">
        <f t="shared" si="2"/>
        <v>9.3308078604626893E-2</v>
      </c>
      <c r="J18" s="1">
        <f t="shared" si="2"/>
        <v>-0.23032820346509383</v>
      </c>
      <c r="K18" s="1">
        <f t="shared" si="2"/>
        <v>-0.10386044705598889</v>
      </c>
      <c r="L18" s="1">
        <f t="shared" si="2"/>
        <v>-0.51959068241551054</v>
      </c>
      <c r="M18" s="1">
        <f t="shared" si="2"/>
        <v>-0.58359519833586904</v>
      </c>
      <c r="N18" s="1">
        <f t="shared" si="2"/>
        <v>0.50175013725788054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-7.1341489688950679</v>
      </c>
      <c r="D19" s="2">
        <f t="shared" si="3"/>
        <v>20.193377399349721</v>
      </c>
      <c r="E19" s="2">
        <f t="shared" si="3"/>
        <v>-1.1465766940917885</v>
      </c>
      <c r="F19" s="2">
        <f t="shared" si="3"/>
        <v>-21.303373160589949</v>
      </c>
      <c r="G19" s="2">
        <f t="shared" si="3"/>
        <v>-1.0603416728468436</v>
      </c>
      <c r="H19" s="2">
        <f t="shared" si="3"/>
        <v>1.822429544230405</v>
      </c>
      <c r="I19" s="2">
        <f t="shared" si="3"/>
        <v>2.0151751999766554</v>
      </c>
      <c r="J19" s="2">
        <f t="shared" si="3"/>
        <v>-108.29490240156019</v>
      </c>
      <c r="K19" s="2">
        <f t="shared" si="3"/>
        <v>-2.7269939413263642</v>
      </c>
      <c r="L19" s="2">
        <f t="shared" si="3"/>
        <v>-11.359687387871173</v>
      </c>
      <c r="M19" s="2">
        <f t="shared" si="3"/>
        <v>-2.2369473443824108</v>
      </c>
      <c r="N19" s="2">
        <f t="shared" si="3"/>
        <v>0.71011296353419529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198.12850652615779</v>
      </c>
      <c r="D20" s="2">
        <f t="shared" si="4"/>
        <v>-146.88945453748715</v>
      </c>
      <c r="E20" s="2">
        <f t="shared" si="4"/>
        <v>8.6437851821742999</v>
      </c>
      <c r="F20" s="2">
        <f t="shared" si="4"/>
        <v>162.54671515152702</v>
      </c>
      <c r="G20" s="2">
        <f t="shared" si="4"/>
        <v>8.87544668675568</v>
      </c>
      <c r="H20" s="2">
        <f t="shared" si="4"/>
        <v>-12.231649353964324</v>
      </c>
      <c r="I20" s="2">
        <f t="shared" si="4"/>
        <v>-0.2391053260461824</v>
      </c>
      <c r="J20" s="2">
        <f t="shared" si="4"/>
        <v>960.62269832824131</v>
      </c>
      <c r="K20" s="2">
        <f t="shared" si="4"/>
        <v>21.263370712408889</v>
      </c>
      <c r="L20" s="2">
        <f t="shared" si="4"/>
        <v>82.577396080479247</v>
      </c>
      <c r="M20" s="2">
        <f t="shared" si="4"/>
        <v>16.972358662210191</v>
      </c>
      <c r="N20" s="2">
        <f t="shared" si="4"/>
        <v>-4.2048942675438585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3.1962869373397101E-4</v>
      </c>
      <c r="D21" s="2">
        <f t="shared" si="5"/>
        <v>0.27958662708003329</v>
      </c>
      <c r="E21" s="2">
        <f t="shared" si="5"/>
        <v>0.75994102997792645</v>
      </c>
      <c r="F21" s="2">
        <f t="shared" si="5"/>
        <v>0.47763432076974327</v>
      </c>
      <c r="G21" s="2">
        <f t="shared" si="5"/>
        <v>0.17006870498693663</v>
      </c>
      <c r="H21" s="2">
        <f t="shared" si="5"/>
        <v>0.41406130616930864</v>
      </c>
      <c r="I21" s="2">
        <f t="shared" si="5"/>
        <v>8.7063975328872303E-3</v>
      </c>
      <c r="J21" s="2">
        <f t="shared" si="5"/>
        <v>5.3051081311457665E-2</v>
      </c>
      <c r="K21" s="2">
        <f t="shared" si="5"/>
        <v>1.0786992462669872E-2</v>
      </c>
      <c r="L21" s="2">
        <f t="shared" si="5"/>
        <v>0.26997447725301604</v>
      </c>
      <c r="M21" s="2">
        <f t="shared" si="5"/>
        <v>0.34058335552068231</v>
      </c>
      <c r="N21" s="2">
        <f t="shared" si="5"/>
        <v>0.25175320023830194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7</v>
      </c>
      <c r="D22">
        <f t="shared" ref="D22:N22" si="6">COUNT($B2:$B13)</f>
        <v>7</v>
      </c>
      <c r="E22">
        <f t="shared" si="6"/>
        <v>7</v>
      </c>
      <c r="F22">
        <f t="shared" si="6"/>
        <v>7</v>
      </c>
      <c r="G22">
        <f t="shared" si="6"/>
        <v>7</v>
      </c>
      <c r="H22">
        <f t="shared" si="6"/>
        <v>7</v>
      </c>
      <c r="I22">
        <f t="shared" si="6"/>
        <v>7</v>
      </c>
      <c r="J22">
        <f t="shared" si="6"/>
        <v>7</v>
      </c>
      <c r="K22">
        <f t="shared" si="6"/>
        <v>7</v>
      </c>
      <c r="L22">
        <f t="shared" si="6"/>
        <v>7</v>
      </c>
      <c r="M22">
        <f t="shared" si="6"/>
        <v>7</v>
      </c>
      <c r="N22">
        <f t="shared" si="6"/>
        <v>7</v>
      </c>
    </row>
    <row r="23" spans="1:22" x14ac:dyDescent="0.2">
      <c r="A23" t="s">
        <v>34</v>
      </c>
      <c r="C23">
        <f t="shared" ref="C23:N23" si="7">C22-2</f>
        <v>5</v>
      </c>
      <c r="D23">
        <f t="shared" si="7"/>
        <v>5</v>
      </c>
      <c r="E23">
        <f t="shared" si="7"/>
        <v>5</v>
      </c>
      <c r="F23">
        <f t="shared" si="7"/>
        <v>5</v>
      </c>
      <c r="G23">
        <f t="shared" si="7"/>
        <v>5</v>
      </c>
      <c r="H23">
        <f t="shared" si="7"/>
        <v>5</v>
      </c>
      <c r="I23">
        <f t="shared" si="7"/>
        <v>5</v>
      </c>
      <c r="J23">
        <f t="shared" si="7"/>
        <v>5</v>
      </c>
      <c r="K23">
        <f t="shared" si="7"/>
        <v>5</v>
      </c>
      <c r="L23">
        <f t="shared" si="7"/>
        <v>5</v>
      </c>
      <c r="M23">
        <f t="shared" si="7"/>
        <v>5</v>
      </c>
      <c r="N23">
        <f t="shared" si="7"/>
        <v>5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-3.9983177018612259E-2</v>
      </c>
      <c r="D24" s="2">
        <f t="shared" si="8"/>
        <v>1.3930038495488126</v>
      </c>
      <c r="E24" s="2">
        <f t="shared" si="8"/>
        <v>-3.9784690102174043</v>
      </c>
      <c r="F24" s="2">
        <f t="shared" si="8"/>
        <v>-2.1381858324383174</v>
      </c>
      <c r="G24" s="2">
        <f t="shared" si="8"/>
        <v>-1.0122228430577362</v>
      </c>
      <c r="H24" s="2">
        <f t="shared" si="8"/>
        <v>1.8797116659076096</v>
      </c>
      <c r="I24" s="2">
        <f t="shared" si="8"/>
        <v>0.20955744610911639</v>
      </c>
      <c r="J24" s="2">
        <f t="shared" si="8"/>
        <v>-0.52925972413244893</v>
      </c>
      <c r="K24" s="2">
        <f t="shared" si="8"/>
        <v>-0.23350182571073722</v>
      </c>
      <c r="L24" s="2">
        <f t="shared" si="8"/>
        <v>-1.3598071946209018</v>
      </c>
      <c r="M24" s="2">
        <f t="shared" si="8"/>
        <v>-1.6070032667695719</v>
      </c>
      <c r="N24" s="2">
        <f t="shared" si="8"/>
        <v>1.2970301397074684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0.96965393899939978</v>
      </c>
      <c r="D25" s="2">
        <f t="shared" si="9"/>
        <v>0.2223814812698145</v>
      </c>
      <c r="E25" s="2">
        <f t="shared" si="9"/>
        <v>1.0546792913847535E-2</v>
      </c>
      <c r="F25" s="2">
        <f t="shared" si="9"/>
        <v>8.5513426288740674E-2</v>
      </c>
      <c r="G25" s="2">
        <f t="shared" si="9"/>
        <v>0.35788001868215757</v>
      </c>
      <c r="H25" s="2">
        <f t="shared" si="9"/>
        <v>0.11892071324947105</v>
      </c>
      <c r="I25" s="2">
        <f t="shared" si="9"/>
        <v>0.84228395169278469</v>
      </c>
      <c r="J25" s="2">
        <f t="shared" si="9"/>
        <v>0.61927157684625267</v>
      </c>
      <c r="K25" s="2">
        <f t="shared" si="9"/>
        <v>0.8246304638980122</v>
      </c>
      <c r="L25" s="2">
        <f t="shared" si="9"/>
        <v>0.2319949946971423</v>
      </c>
      <c r="M25" s="2">
        <f t="shared" si="9"/>
        <v>0.16896386731428917</v>
      </c>
      <c r="N25" s="2">
        <f t="shared" si="9"/>
        <v>0.25124357266035169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0.21112500000000001</v>
      </c>
    </row>
  </sheetData>
  <conditionalFormatting sqref="C25:N25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7DB9-98B4-154E-9127-C36980609996}">
  <dimension ref="A1:V26"/>
  <sheetViews>
    <sheetView workbookViewId="0">
      <selection activeCell="A28" sqref="A28:B31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61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6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168.6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-3.9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0.47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11.3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1.1719999999999999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0.72099999999999997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15.71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200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3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0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1.302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0.89700000000000002</v>
      </c>
      <c r="O2" s="1"/>
      <c r="P2" s="1"/>
    </row>
    <row r="3" spans="1:22" x14ac:dyDescent="0.2">
      <c r="A3" t="s">
        <v>0</v>
      </c>
      <c r="B3">
        <v>6.0226363636363631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</v>
      </c>
      <c r="B4">
        <v>6.2843749999999998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88.6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1.8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8.1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1.4890000000000001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0.70899999999999996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11.5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115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0.78800000000000003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0.82399999999999995</v>
      </c>
      <c r="O4" s="1"/>
      <c r="P4" s="1"/>
      <c r="T4" s="1"/>
      <c r="U4" s="1"/>
      <c r="V4" s="1"/>
    </row>
    <row r="5" spans="1:22" x14ac:dyDescent="0.2">
      <c r="A5" t="s">
        <v>17</v>
      </c>
      <c r="B5">
        <v>6.1811538461538467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162.9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1.9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5.7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1.363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1.21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16.25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0.436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0.81</v>
      </c>
      <c r="O5" s="1"/>
      <c r="P5" s="1"/>
      <c r="T5" s="1"/>
      <c r="U5" s="1"/>
      <c r="V5" s="1"/>
    </row>
    <row r="6" spans="1:22" x14ac:dyDescent="0.2">
      <c r="A6" t="s">
        <v>5</v>
      </c>
      <c r="B6">
        <v>6.0329999999999995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138.4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-3.5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0.5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12.3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1.504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0.56699999999999995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13.57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190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4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1.149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0.76100000000000001</v>
      </c>
      <c r="O6" s="1"/>
      <c r="P6" s="1"/>
      <c r="T6" s="1"/>
      <c r="U6" s="1"/>
      <c r="V6" s="1"/>
    </row>
    <row r="7" spans="1:22" x14ac:dyDescent="0.2">
      <c r="A7" t="s">
        <v>20</v>
      </c>
      <c r="B7">
        <v>6.0510000000000002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173.4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-4.5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0.53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10.5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1.224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0.92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14.28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225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5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0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0.91200000000000003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0.89300000000000002</v>
      </c>
      <c r="O7" s="1"/>
      <c r="P7" s="1"/>
      <c r="T7" s="1"/>
      <c r="U7" s="1"/>
      <c r="V7" s="1"/>
    </row>
    <row r="8" spans="1:22" x14ac:dyDescent="0.2">
      <c r="A8" t="s">
        <v>16</v>
      </c>
      <c r="B8">
        <v>6.0134615384615397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153.19999999999999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-3.2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0.32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10.4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1.0029999999999999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0.86299999999999999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13.69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195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2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2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0.97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1.0680000000000001</v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6.1559414645573414</v>
      </c>
      <c r="C15" s="1">
        <f t="shared" si="0"/>
        <v>146.98571428571427</v>
      </c>
      <c r="D15" s="1">
        <f t="shared" si="0"/>
        <v>-2.128571428571429</v>
      </c>
      <c r="E15" s="1">
        <f t="shared" si="0"/>
        <v>0.42428571428571432</v>
      </c>
      <c r="F15" s="1">
        <f t="shared" si="0"/>
        <v>9.828571428571431</v>
      </c>
      <c r="G15" s="1">
        <f t="shared" si="0"/>
        <v>1.2741428571428572</v>
      </c>
      <c r="H15" s="1">
        <f t="shared" si="0"/>
        <v>0.83285714285714285</v>
      </c>
      <c r="I15" s="1">
        <f t="shared" si="0"/>
        <v>14.207142857142856</v>
      </c>
      <c r="J15" s="1">
        <f t="shared" si="0"/>
        <v>184.28571428571428</v>
      </c>
      <c r="K15" s="1">
        <f t="shared" si="0"/>
        <v>1.7142857142857142</v>
      </c>
      <c r="L15" s="1">
        <f t="shared" si="0"/>
        <v>1.1428571428571428</v>
      </c>
      <c r="M15" s="1">
        <f t="shared" si="0"/>
        <v>0.93628571428571417</v>
      </c>
      <c r="N15" s="1">
        <f t="shared" si="0"/>
        <v>0.88571428571428557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0.18432053558278888</v>
      </c>
      <c r="C16" s="1">
        <f t="shared" si="1"/>
        <v>28.721445447112089</v>
      </c>
      <c r="D16" s="1">
        <f t="shared" si="1"/>
        <v>2.7487659568821581</v>
      </c>
      <c r="E16" s="1">
        <f t="shared" si="1"/>
        <v>9.4667337355102188E-2</v>
      </c>
      <c r="F16" s="1">
        <f t="shared" si="1"/>
        <v>2.218643944480708</v>
      </c>
      <c r="G16" s="1">
        <f t="shared" si="1"/>
        <v>0.18506343828664787</v>
      </c>
      <c r="H16" s="1">
        <f t="shared" si="1"/>
        <v>0.20384751537315685</v>
      </c>
      <c r="I16" s="1">
        <f t="shared" si="1"/>
        <v>1.5544636190201426</v>
      </c>
      <c r="J16" s="1">
        <f t="shared" si="1"/>
        <v>33.841366627813606</v>
      </c>
      <c r="K16" s="1">
        <f t="shared" si="1"/>
        <v>1.8898223650461361</v>
      </c>
      <c r="L16" s="1">
        <f t="shared" si="1"/>
        <v>1.5735915849388864</v>
      </c>
      <c r="M16" s="1">
        <f t="shared" si="1"/>
        <v>0.27588688158115049</v>
      </c>
      <c r="N16" s="1">
        <f t="shared" si="1"/>
        <v>0.10186545748472178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-5.3807400691801149E-2</v>
      </c>
      <c r="D18" s="1">
        <f t="shared" si="2"/>
        <v>0.24310912051257633</v>
      </c>
      <c r="E18" s="1">
        <f t="shared" si="2"/>
        <v>-9.2579938395195585E-2</v>
      </c>
      <c r="F18" s="1">
        <f t="shared" si="2"/>
        <v>-0.14520773222715253</v>
      </c>
      <c r="G18" s="1">
        <f t="shared" si="2"/>
        <v>0.11922364841415188</v>
      </c>
      <c r="H18" s="1">
        <f t="shared" si="2"/>
        <v>-0.12091113647593475</v>
      </c>
      <c r="I18" s="1">
        <f t="shared" si="2"/>
        <v>0.1988487860288124</v>
      </c>
      <c r="J18" s="1">
        <f t="shared" si="2"/>
        <v>-0.24877540388648106</v>
      </c>
      <c r="K18" s="1">
        <f t="shared" si="2"/>
        <v>-1.2541281972420278E-2</v>
      </c>
      <c r="L18" s="1">
        <f t="shared" si="2"/>
        <v>-0.59952480681135711</v>
      </c>
      <c r="M18" s="1">
        <f t="shared" si="2"/>
        <v>0.19615844896698637</v>
      </c>
      <c r="N18" s="1">
        <f t="shared" si="2"/>
        <v>-0.22598693460659652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-8.3844500491174081</v>
      </c>
      <c r="D19" s="2">
        <f t="shared" si="3"/>
        <v>3.6254781495704931</v>
      </c>
      <c r="E19" s="2">
        <f t="shared" si="3"/>
        <v>-4.7549212206124639E-2</v>
      </c>
      <c r="F19" s="2">
        <f t="shared" si="3"/>
        <v>-1.747847871529469</v>
      </c>
      <c r="G19" s="2">
        <f t="shared" si="3"/>
        <v>0.11970417854331439</v>
      </c>
      <c r="H19" s="2">
        <f t="shared" si="3"/>
        <v>-0.13372050310961381</v>
      </c>
      <c r="I19" s="2">
        <f t="shared" si="3"/>
        <v>1.6769873339982249</v>
      </c>
      <c r="J19" s="2">
        <f t="shared" si="3"/>
        <v>-45.675321115391391</v>
      </c>
      <c r="K19" s="2">
        <f t="shared" si="3"/>
        <v>-0.1285846695426098</v>
      </c>
      <c r="L19" s="2">
        <f t="shared" si="3"/>
        <v>-5.1182967105514123</v>
      </c>
      <c r="M19" s="2">
        <f t="shared" si="3"/>
        <v>0.29360560726555468</v>
      </c>
      <c r="N19" s="2">
        <f t="shared" si="3"/>
        <v>-0.12489255419362043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198.59989800058597</v>
      </c>
      <c r="D20" s="2">
        <f t="shared" si="4"/>
        <v>-24.446802698359051</v>
      </c>
      <c r="E20" s="2">
        <f t="shared" si="4"/>
        <v>0.71699588131243308</v>
      </c>
      <c r="F20" s="2">
        <f t="shared" si="4"/>
        <v>20.588220614657981</v>
      </c>
      <c r="G20" s="2">
        <f t="shared" si="4"/>
        <v>0.53725094096729298</v>
      </c>
      <c r="H20" s="2">
        <f t="shared" si="4"/>
        <v>1.6560327326110835</v>
      </c>
      <c r="I20" s="2">
        <f t="shared" si="4"/>
        <v>3.8837069922457115</v>
      </c>
      <c r="J20" s="2">
        <f t="shared" si="4"/>
        <v>465.46031744692363</v>
      </c>
      <c r="K20" s="2">
        <f t="shared" si="4"/>
        <v>2.5058454132294692</v>
      </c>
      <c r="L20" s="2">
        <f t="shared" si="4"/>
        <v>32.650792091248029</v>
      </c>
      <c r="M20" s="2">
        <f t="shared" si="4"/>
        <v>-0.87113321770685204</v>
      </c>
      <c r="N20" s="2">
        <f t="shared" si="4"/>
        <v>1.6545455386892685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2.8952363692080429E-3</v>
      </c>
      <c r="D21" s="2">
        <f t="shared" si="5"/>
        <v>5.9102044476398344E-2</v>
      </c>
      <c r="E21" s="2">
        <f t="shared" si="5"/>
        <v>8.5710449932582065E-3</v>
      </c>
      <c r="F21" s="2">
        <f t="shared" si="5"/>
        <v>2.108528549855242E-2</v>
      </c>
      <c r="G21" s="2">
        <f t="shared" si="5"/>
        <v>1.4214278341181304E-2</v>
      </c>
      <c r="H21" s="2">
        <f t="shared" si="5"/>
        <v>1.4619502923902116E-2</v>
      </c>
      <c r="I21" s="2">
        <f t="shared" si="5"/>
        <v>3.9540839705132391E-2</v>
      </c>
      <c r="J21" s="2">
        <f t="shared" si="5"/>
        <v>6.188920157888176E-2</v>
      </c>
      <c r="K21" s="2">
        <f t="shared" si="5"/>
        <v>1.5728375351175381E-4</v>
      </c>
      <c r="L21" s="2">
        <f t="shared" si="5"/>
        <v>0.35942999398219483</v>
      </c>
      <c r="M21" s="2">
        <f t="shared" si="5"/>
        <v>3.8478137101133791E-2</v>
      </c>
      <c r="N21" s="2">
        <f t="shared" si="5"/>
        <v>5.1070094612886134E-2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7</v>
      </c>
      <c r="D22">
        <f t="shared" ref="D22:N22" si="6">COUNT($B2:$B13)</f>
        <v>7</v>
      </c>
      <c r="E22">
        <f t="shared" si="6"/>
        <v>7</v>
      </c>
      <c r="F22">
        <f t="shared" si="6"/>
        <v>7</v>
      </c>
      <c r="G22">
        <f t="shared" si="6"/>
        <v>7</v>
      </c>
      <c r="H22">
        <f t="shared" si="6"/>
        <v>7</v>
      </c>
      <c r="I22">
        <f t="shared" si="6"/>
        <v>7</v>
      </c>
      <c r="J22">
        <f t="shared" si="6"/>
        <v>7</v>
      </c>
      <c r="K22">
        <f t="shared" si="6"/>
        <v>7</v>
      </c>
      <c r="L22">
        <f t="shared" si="6"/>
        <v>7</v>
      </c>
      <c r="M22">
        <f t="shared" si="6"/>
        <v>7</v>
      </c>
      <c r="N22">
        <f t="shared" si="6"/>
        <v>7</v>
      </c>
    </row>
    <row r="23" spans="1:22" x14ac:dyDescent="0.2">
      <c r="A23" t="s">
        <v>34</v>
      </c>
      <c r="C23">
        <f t="shared" ref="C23:N23" si="7">C22-2</f>
        <v>5</v>
      </c>
      <c r="D23">
        <f t="shared" si="7"/>
        <v>5</v>
      </c>
      <c r="E23">
        <f t="shared" si="7"/>
        <v>5</v>
      </c>
      <c r="F23">
        <f t="shared" si="7"/>
        <v>5</v>
      </c>
      <c r="G23">
        <f t="shared" si="7"/>
        <v>5</v>
      </c>
      <c r="H23">
        <f t="shared" si="7"/>
        <v>5</v>
      </c>
      <c r="I23">
        <f t="shared" si="7"/>
        <v>5</v>
      </c>
      <c r="J23">
        <f t="shared" si="7"/>
        <v>5</v>
      </c>
      <c r="K23">
        <f t="shared" si="7"/>
        <v>5</v>
      </c>
      <c r="L23">
        <f t="shared" si="7"/>
        <v>5</v>
      </c>
      <c r="M23">
        <f t="shared" si="7"/>
        <v>5</v>
      </c>
      <c r="N23">
        <f t="shared" si="7"/>
        <v>5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-0.12049155784371536</v>
      </c>
      <c r="D24" s="2">
        <f t="shared" si="8"/>
        <v>0.56042176290643497</v>
      </c>
      <c r="E24" s="2">
        <f t="shared" si="8"/>
        <v>-0.20790794720314063</v>
      </c>
      <c r="F24" s="2">
        <f t="shared" si="8"/>
        <v>-0.32817259918962116</v>
      </c>
      <c r="G24" s="2">
        <f t="shared" si="8"/>
        <v>0.26850733132431531</v>
      </c>
      <c r="H24" s="2">
        <f t="shared" si="8"/>
        <v>-0.27236376201901774</v>
      </c>
      <c r="I24" s="2">
        <f t="shared" si="8"/>
        <v>0.45369970267621046</v>
      </c>
      <c r="J24" s="2">
        <f t="shared" si="8"/>
        <v>-0.5743351211450568</v>
      </c>
      <c r="K24" s="2">
        <f t="shared" si="8"/>
        <v>-2.8045364642164873E-2</v>
      </c>
      <c r="L24" s="2">
        <f t="shared" si="8"/>
        <v>-1.6749770476994841</v>
      </c>
      <c r="M24" s="2">
        <f t="shared" si="8"/>
        <v>0.44731394678965891</v>
      </c>
      <c r="N24" s="2">
        <f t="shared" si="8"/>
        <v>-0.51874182618503306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0.90878589660909104</v>
      </c>
      <c r="D25" s="2">
        <f t="shared" si="9"/>
        <v>0.59937238805119653</v>
      </c>
      <c r="E25" s="2">
        <f t="shared" si="9"/>
        <v>0.84350409784818758</v>
      </c>
      <c r="F25" s="2">
        <f t="shared" si="9"/>
        <v>0.75607834812621466</v>
      </c>
      <c r="G25" s="2">
        <f t="shared" si="9"/>
        <v>0.79903506342604591</v>
      </c>
      <c r="H25" s="2">
        <f t="shared" si="9"/>
        <v>0.79623202043683783</v>
      </c>
      <c r="I25" s="2">
        <f t="shared" si="9"/>
        <v>0.66905806617006869</v>
      </c>
      <c r="J25" s="2">
        <f t="shared" si="9"/>
        <v>0.5906124872790588</v>
      </c>
      <c r="K25" s="2">
        <f t="shared" si="9"/>
        <v>0.9787109327724226</v>
      </c>
      <c r="L25" s="2">
        <f t="shared" si="9"/>
        <v>0.15479056352282577</v>
      </c>
      <c r="M25" s="2">
        <f t="shared" si="9"/>
        <v>0.67336070639955403</v>
      </c>
      <c r="N25" s="2">
        <f t="shared" si="9"/>
        <v>0.62607360814864388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0.49250196518809553</v>
      </c>
    </row>
  </sheetData>
  <conditionalFormatting sqref="C25:N25">
    <cfRule type="cellIs" dxfId="6" priority="1" operator="lessThan">
      <formula>0.05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72D2-5AA2-4802-B307-1D9FFD49A344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78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16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153.19999999999999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-3.2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0.32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10.4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1.0029999999999999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0.86299999999999999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13.69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195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2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2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0.97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1.0680000000000001</v>
      </c>
      <c r="O2" s="1"/>
      <c r="P2" s="1"/>
    </row>
    <row r="3" spans="1:22" x14ac:dyDescent="0.2">
      <c r="A3" t="s">
        <v>1</v>
      </c>
      <c r="B3">
        <v>7.2834444444444451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7.2590000000000003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14</v>
      </c>
      <c r="B5">
        <v>7.232499999999999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114.1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-3.2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0.46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11.6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0.77200000000000002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0.60399999999999998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12.82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160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1.5720000000000001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1.167</v>
      </c>
      <c r="O5" s="1"/>
      <c r="P5" s="1"/>
      <c r="T5" s="1"/>
      <c r="U5" s="1"/>
      <c r="V5" s="1"/>
    </row>
    <row r="6" spans="1:22" x14ac:dyDescent="0.2">
      <c r="A6" t="s">
        <v>6</v>
      </c>
      <c r="B6">
        <v>7.3069999999999995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168.6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0.47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11.3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1.1719999999999999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0.72099999999999997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15.71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200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3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1.302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0.89700000000000002</v>
      </c>
      <c r="O6" s="1"/>
      <c r="P6" s="1"/>
      <c r="T6" s="1"/>
      <c r="U6" s="1"/>
      <c r="V6" s="1"/>
    </row>
    <row r="7" spans="1:22" x14ac:dyDescent="0.2">
      <c r="M7" t="str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/>
      </c>
      <c r="N7" t="str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/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7.2473296296296299</v>
      </c>
      <c r="C15" s="1">
        <f t="shared" si="0"/>
        <v>132.57999999999998</v>
      </c>
      <c r="D15" s="1">
        <f t="shared" si="0"/>
        <v>-2.4000000000000004</v>
      </c>
      <c r="E15" s="1">
        <f t="shared" si="0"/>
        <v>0.42199999999999999</v>
      </c>
      <c r="F15" s="1">
        <f t="shared" si="0"/>
        <v>10.74</v>
      </c>
      <c r="G15" s="1">
        <f t="shared" si="0"/>
        <v>1.1879999999999999</v>
      </c>
      <c r="H15" s="1">
        <f t="shared" si="0"/>
        <v>0.69280000000000008</v>
      </c>
      <c r="I15" s="1">
        <f t="shared" si="0"/>
        <v>13.457999999999998</v>
      </c>
      <c r="J15" s="1">
        <f t="shared" si="0"/>
        <v>172</v>
      </c>
      <c r="K15" s="1">
        <f t="shared" si="0"/>
        <v>1.4</v>
      </c>
      <c r="L15" s="1">
        <f t="shared" si="0"/>
        <v>1.6</v>
      </c>
      <c r="M15" s="1">
        <f t="shared" si="0"/>
        <v>1.1562000000000001</v>
      </c>
      <c r="N15" s="1">
        <f t="shared" si="0"/>
        <v>0.94340000000000013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5.8737787161276367E-2</v>
      </c>
      <c r="C16" s="1">
        <f t="shared" si="1"/>
        <v>31.749992125983301</v>
      </c>
      <c r="D16" s="1">
        <f t="shared" si="1"/>
        <v>2.3653752345029737</v>
      </c>
      <c r="E16" s="1">
        <f t="shared" si="1"/>
        <v>7.7588658965083282E-2</v>
      </c>
      <c r="F16" s="1">
        <f t="shared" si="1"/>
        <v>1.6257306049896461</v>
      </c>
      <c r="G16" s="1">
        <f t="shared" si="1"/>
        <v>0.31543382824294602</v>
      </c>
      <c r="H16" s="1">
        <f t="shared" si="1"/>
        <v>0.11590599639362857</v>
      </c>
      <c r="I16" s="1">
        <f t="shared" si="1"/>
        <v>1.5312315305008883</v>
      </c>
      <c r="J16" s="1">
        <f t="shared" si="1"/>
        <v>35.461246452994288</v>
      </c>
      <c r="K16" s="1">
        <f t="shared" si="1"/>
        <v>1.3416407864998738</v>
      </c>
      <c r="L16" s="1">
        <f t="shared" si="1"/>
        <v>1.6733200530681511</v>
      </c>
      <c r="M16" s="1">
        <f t="shared" si="1"/>
        <v>0.30184466203661725</v>
      </c>
      <c r="N16" s="1">
        <f t="shared" si="1"/>
        <v>0.16970651136594514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-0.13498889836527414</v>
      </c>
      <c r="D18" s="1">
        <f t="shared" si="2"/>
        <v>0.24346249413956522</v>
      </c>
      <c r="E18" s="1">
        <f t="shared" si="2"/>
        <v>0.57158129434098404</v>
      </c>
      <c r="F18" s="1">
        <f t="shared" si="2"/>
        <v>-6.5405060476596513E-2</v>
      </c>
      <c r="G18" s="1">
        <f t="shared" si="2"/>
        <v>0.49801410764803683</v>
      </c>
      <c r="H18" s="1">
        <f t="shared" si="2"/>
        <v>-0.50118631914121659</v>
      </c>
      <c r="I18" s="1">
        <f t="shared" si="2"/>
        <v>0.14716299496055946</v>
      </c>
      <c r="J18" s="1">
        <f t="shared" si="2"/>
        <v>-0.25566909813812871</v>
      </c>
      <c r="K18" s="1">
        <f t="shared" si="2"/>
        <v>-0.11388869679954766</v>
      </c>
      <c r="L18" s="1">
        <f t="shared" si="2"/>
        <v>-0.42790356086911813</v>
      </c>
      <c r="M18" s="1">
        <f t="shared" si="2"/>
        <v>9.0233202371732754E-2</v>
      </c>
      <c r="N18" s="1">
        <f t="shared" si="2"/>
        <v>-0.6035849384614993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-72.966597267697935</v>
      </c>
      <c r="D19" s="2">
        <f t="shared" si="3"/>
        <v>9.8042534797379872</v>
      </c>
      <c r="E19" s="2">
        <f t="shared" si="3"/>
        <v>0.75502037548123102</v>
      </c>
      <c r="F19" s="2">
        <f t="shared" si="3"/>
        <v>-1.8102658216600593</v>
      </c>
      <c r="G19" s="2">
        <f t="shared" si="3"/>
        <v>2.6744367482399558</v>
      </c>
      <c r="H19" s="2">
        <f t="shared" si="3"/>
        <v>-0.98898005025996394</v>
      </c>
      <c r="I19" s="2">
        <f t="shared" si="3"/>
        <v>3.8363824872705834</v>
      </c>
      <c r="J19" s="2">
        <f t="shared" si="3"/>
        <v>-154.35285082492976</v>
      </c>
      <c r="K19" s="2">
        <f t="shared" si="3"/>
        <v>-2.6013530323853362</v>
      </c>
      <c r="L19" s="2">
        <f t="shared" si="3"/>
        <v>-12.19010187114452</v>
      </c>
      <c r="M19" s="2">
        <f t="shared" si="3"/>
        <v>0.46369486817054228</v>
      </c>
      <c r="N19" s="2">
        <f t="shared" si="3"/>
        <v>-1.7438909289871944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661.39298235143951</v>
      </c>
      <c r="D20" s="2">
        <f t="shared" si="4"/>
        <v>-73.454656740104525</v>
      </c>
      <c r="E20" s="2">
        <f t="shared" si="4"/>
        <v>-5.0498815381992141</v>
      </c>
      <c r="F20" s="2">
        <f t="shared" si="4"/>
        <v>23.859593126822777</v>
      </c>
      <c r="G20" s="2">
        <f t="shared" si="4"/>
        <v>-18.194524688089754</v>
      </c>
      <c r="H20" s="2">
        <f t="shared" si="4"/>
        <v>7.8602644213616371</v>
      </c>
      <c r="I20" s="2">
        <f t="shared" si="4"/>
        <v>-14.345528470588317</v>
      </c>
      <c r="J20" s="2">
        <f t="shared" si="4"/>
        <v>1290.6459892013156</v>
      </c>
      <c r="K20" s="2">
        <f t="shared" si="4"/>
        <v>20.252862908733132</v>
      </c>
      <c r="L20" s="2">
        <f t="shared" si="4"/>
        <v>89.94568647894927</v>
      </c>
      <c r="M20" s="2">
        <f t="shared" si="4"/>
        <v>-2.2043495571995764</v>
      </c>
      <c r="N20" s="2">
        <f t="shared" si="4"/>
        <v>13.581952400491236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1.8222002681870325E-2</v>
      </c>
      <c r="D21" s="2">
        <f t="shared" si="5"/>
        <v>5.9273986052657844E-2</v>
      </c>
      <c r="E21" s="2">
        <f t="shared" si="5"/>
        <v>0.32670517604051491</v>
      </c>
      <c r="F21" s="2">
        <f t="shared" si="5"/>
        <v>4.277821935947247E-3</v>
      </c>
      <c r="G21" s="2">
        <f t="shared" si="5"/>
        <v>0.2480180514164704</v>
      </c>
      <c r="H21" s="2">
        <f t="shared" si="5"/>
        <v>0.25118772649432131</v>
      </c>
      <c r="I21" s="2">
        <f t="shared" si="5"/>
        <v>2.1656947085761658E-2</v>
      </c>
      <c r="J21" s="2">
        <f t="shared" si="5"/>
        <v>6.5366687742764121E-2</v>
      </c>
      <c r="K21" s="2">
        <f t="shared" si="5"/>
        <v>1.2970635258699298E-2</v>
      </c>
      <c r="L21" s="2">
        <f t="shared" si="5"/>
        <v>0.18310145740447112</v>
      </c>
      <c r="M21" s="2">
        <f t="shared" si="5"/>
        <v>8.1420308102580843E-3</v>
      </c>
      <c r="N21" s="2">
        <f t="shared" si="5"/>
        <v>0.36431477793757205</v>
      </c>
      <c r="O21" s="2"/>
      <c r="P21" s="2"/>
      <c r="U21" s="2"/>
      <c r="V21" s="2"/>
    </row>
    <row r="22" spans="1:22" x14ac:dyDescent="0.2">
      <c r="A22" t="s">
        <v>33</v>
      </c>
      <c r="C22">
        <f t="shared" ref="C22:N22" si="6">COUNT($B2:$B13)</f>
        <v>5</v>
      </c>
      <c r="D22">
        <f t="shared" si="6"/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-0.23596741398120866</v>
      </c>
      <c r="D24" s="2">
        <f t="shared" si="8"/>
        <v>0.43477154973009852</v>
      </c>
      <c r="E24" s="2">
        <f t="shared" si="8"/>
        <v>1.2065240882764687</v>
      </c>
      <c r="F24" s="2">
        <f t="shared" si="8"/>
        <v>-0.11352797429576325</v>
      </c>
      <c r="G24" s="2">
        <f t="shared" si="8"/>
        <v>0.99471476677070181</v>
      </c>
      <c r="H24" s="2">
        <f t="shared" si="8"/>
        <v>-1.0031672785822046</v>
      </c>
      <c r="I24" s="2">
        <f t="shared" si="8"/>
        <v>0.25769955127662975</v>
      </c>
      <c r="J24" s="2">
        <f t="shared" si="8"/>
        <v>-0.45805564406061666</v>
      </c>
      <c r="K24" s="2">
        <f t="shared" si="8"/>
        <v>-0.19855289062981743</v>
      </c>
      <c r="L24" s="2">
        <f t="shared" si="8"/>
        <v>-0.82001626613022249</v>
      </c>
      <c r="M24" s="2">
        <f t="shared" si="8"/>
        <v>0.1569286557359095</v>
      </c>
      <c r="N24" s="2">
        <f t="shared" si="8"/>
        <v>-1.3112272426302518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0.82865021159038632</v>
      </c>
      <c r="D25" s="2">
        <f t="shared" si="9"/>
        <v>0.69310409777092719</v>
      </c>
      <c r="E25" s="2">
        <f t="shared" si="9"/>
        <v>0.31408031807227355</v>
      </c>
      <c r="F25" s="2">
        <f t="shared" si="9"/>
        <v>0.91678310226934356</v>
      </c>
      <c r="G25" s="2">
        <f t="shared" si="9"/>
        <v>0.39319342561551751</v>
      </c>
      <c r="H25" s="2">
        <f t="shared" si="9"/>
        <v>0.38969463273436472</v>
      </c>
      <c r="I25" s="2">
        <f t="shared" si="9"/>
        <v>0.81330479341481698</v>
      </c>
      <c r="J25" s="2">
        <f t="shared" si="9"/>
        <v>0.6780540533231183</v>
      </c>
      <c r="K25" s="2">
        <f t="shared" si="9"/>
        <v>0.85530649370402079</v>
      </c>
      <c r="L25" s="2">
        <f t="shared" si="9"/>
        <v>0.47229208289516889</v>
      </c>
      <c r="M25" s="2">
        <f t="shared" si="9"/>
        <v>0.88526761371405405</v>
      </c>
      <c r="N25" s="2">
        <f t="shared" si="9"/>
        <v>0.28111154695232582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0.15229629629629216</v>
      </c>
    </row>
  </sheetData>
  <conditionalFormatting sqref="C25:N25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D29A-CBFE-45FA-AA75-CB0BB3B2C60E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78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16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153.19999999999999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-3.2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0.32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10.4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1.0029999999999999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0.86299999999999999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13.69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195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2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2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0.97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1.0680000000000001</v>
      </c>
      <c r="O2" s="1"/>
      <c r="P2" s="1"/>
    </row>
    <row r="3" spans="1:22" x14ac:dyDescent="0.2">
      <c r="A3" t="s">
        <v>1</v>
      </c>
      <c r="B3">
        <v>6.4722222222222223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88.6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1.8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0.36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8.1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1.4890000000000001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0.70899999999999996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11.5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115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0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0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0.78800000000000003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0.82399999999999995</v>
      </c>
      <c r="O3" s="1"/>
      <c r="P3" s="1"/>
      <c r="T3" s="1"/>
      <c r="U3" s="1"/>
      <c r="V3" s="1"/>
    </row>
    <row r="4" spans="1:22" x14ac:dyDescent="0.2">
      <c r="A4" t="s">
        <v>5</v>
      </c>
      <c r="B4">
        <v>6.6697142857142842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138.4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0.5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12.3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1.504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0.56699999999999995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13.57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190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4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1.149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0.76100000000000001</v>
      </c>
      <c r="O4" s="1"/>
      <c r="P4" s="1"/>
      <c r="T4" s="1"/>
      <c r="U4" s="1"/>
      <c r="V4" s="1"/>
    </row>
    <row r="5" spans="1:22" x14ac:dyDescent="0.2">
      <c r="A5" t="s">
        <v>14</v>
      </c>
      <c r="B5">
        <v>6.5257000000000005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114.1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-3.2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0.46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11.6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0.77200000000000002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0.60399999999999998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12.82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160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2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2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1.5720000000000001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1.167</v>
      </c>
      <c r="O5" s="1"/>
      <c r="P5" s="1"/>
      <c r="T5" s="1"/>
      <c r="U5" s="1"/>
      <c r="V5" s="1"/>
    </row>
    <row r="6" spans="1:22" x14ac:dyDescent="0.2">
      <c r="A6" t="s">
        <v>6</v>
      </c>
      <c r="B6">
        <v>6.6626666666666665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168.6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-3.9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0.47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11.3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1.1719999999999999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0.72099999999999997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15.71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200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3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1.302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0.89700000000000002</v>
      </c>
      <c r="O6" s="1"/>
      <c r="P6" s="1"/>
      <c r="T6" s="1"/>
      <c r="U6" s="1"/>
      <c r="V6" s="1"/>
    </row>
    <row r="7" spans="1:22" x14ac:dyDescent="0.2">
      <c r="M7" t="str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/>
      </c>
      <c r="N7" t="str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/>
      </c>
      <c r="O7" s="1"/>
      <c r="P7" s="1"/>
      <c r="T7" s="1"/>
      <c r="U7" s="1"/>
      <c r="V7" s="1"/>
    </row>
    <row r="8" spans="1:22" x14ac:dyDescent="0.2">
      <c r="M8" t="str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/>
      </c>
      <c r="N8" t="str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/>
      </c>
      <c r="O8" s="1"/>
      <c r="P8" s="1"/>
      <c r="T8" s="1"/>
      <c r="U8" s="1"/>
      <c r="V8" s="1"/>
    </row>
    <row r="9" spans="1:22" x14ac:dyDescent="0.2">
      <c r="M9" t="str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/>
      </c>
      <c r="N9" t="str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/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6.5672533356505625</v>
      </c>
      <c r="C15" s="1">
        <f t="shared" si="0"/>
        <v>132.57999999999998</v>
      </c>
      <c r="D15" s="1">
        <f t="shared" si="0"/>
        <v>-2.4000000000000004</v>
      </c>
      <c r="E15" s="1">
        <f t="shared" si="0"/>
        <v>0.42199999999999999</v>
      </c>
      <c r="F15" s="1">
        <f t="shared" si="0"/>
        <v>10.74</v>
      </c>
      <c r="G15" s="1">
        <f t="shared" si="0"/>
        <v>1.1879999999999999</v>
      </c>
      <c r="H15" s="1">
        <f t="shared" si="0"/>
        <v>0.69280000000000008</v>
      </c>
      <c r="I15" s="1">
        <f t="shared" si="0"/>
        <v>13.457999999999998</v>
      </c>
      <c r="J15" s="1">
        <f t="shared" si="0"/>
        <v>172</v>
      </c>
      <c r="K15" s="1">
        <f t="shared" si="0"/>
        <v>1.4</v>
      </c>
      <c r="L15" s="1">
        <f t="shared" si="0"/>
        <v>1.6</v>
      </c>
      <c r="M15" s="1">
        <f t="shared" si="0"/>
        <v>1.1562000000000001</v>
      </c>
      <c r="N15" s="1">
        <f t="shared" si="0"/>
        <v>0.94340000000000013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9.2352565954294544E-2</v>
      </c>
      <c r="C16" s="1">
        <f t="shared" si="1"/>
        <v>31.749992125983301</v>
      </c>
      <c r="D16" s="1">
        <f t="shared" si="1"/>
        <v>2.3653752345029737</v>
      </c>
      <c r="E16" s="1">
        <f t="shared" si="1"/>
        <v>7.7588658965083282E-2</v>
      </c>
      <c r="F16" s="1">
        <f t="shared" si="1"/>
        <v>1.6257306049896461</v>
      </c>
      <c r="G16" s="1">
        <f t="shared" si="1"/>
        <v>0.31543382824294602</v>
      </c>
      <c r="H16" s="1">
        <f t="shared" si="1"/>
        <v>0.11590599639362857</v>
      </c>
      <c r="I16" s="1">
        <f t="shared" si="1"/>
        <v>1.5312315305008883</v>
      </c>
      <c r="J16" s="1">
        <f t="shared" si="1"/>
        <v>35.461246452994288</v>
      </c>
      <c r="K16" s="1">
        <f t="shared" si="1"/>
        <v>1.3416407864998738</v>
      </c>
      <c r="L16" s="1">
        <f t="shared" si="1"/>
        <v>1.6733200530681511</v>
      </c>
      <c r="M16" s="1">
        <f t="shared" si="1"/>
        <v>0.30184466203661725</v>
      </c>
      <c r="N16" s="1">
        <f t="shared" si="1"/>
        <v>0.16970651136594514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0.65792803812694667</v>
      </c>
      <c r="D18" s="1">
        <f t="shared" si="2"/>
        <v>-0.65539847647877969</v>
      </c>
      <c r="E18" s="1">
        <f t="shared" si="2"/>
        <v>0.80720889034288812</v>
      </c>
      <c r="F18" s="1">
        <f t="shared" si="2"/>
        <v>0.74805878751063026</v>
      </c>
      <c r="G18" s="1">
        <f t="shared" si="2"/>
        <v>0.26493561439615371</v>
      </c>
      <c r="H18" s="1">
        <f t="shared" si="2"/>
        <v>-0.43160630626934982</v>
      </c>
      <c r="I18" s="1">
        <f t="shared" si="2"/>
        <v>0.75083031934630484</v>
      </c>
      <c r="J18" s="1">
        <f t="shared" si="2"/>
        <v>0.68868633550571046</v>
      </c>
      <c r="K18" s="1">
        <f t="shared" si="2"/>
        <v>0.16253243994322578</v>
      </c>
      <c r="L18" s="1">
        <f t="shared" si="2"/>
        <v>0.33027620889341996</v>
      </c>
      <c r="M18" s="1">
        <f t="shared" si="2"/>
        <v>0.37934150085922141</v>
      </c>
      <c r="N18" s="1">
        <f t="shared" si="2"/>
        <v>-0.45775677653664298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226.18981740401551</v>
      </c>
      <c r="D19" s="2">
        <f t="shared" si="3"/>
        <v>-16.786358981743007</v>
      </c>
      <c r="E19" s="2">
        <f t="shared" si="3"/>
        <v>0.67816475545891708</v>
      </c>
      <c r="F19" s="2">
        <f t="shared" si="3"/>
        <v>13.168470768742354</v>
      </c>
      <c r="G19" s="2">
        <f t="shared" si="3"/>
        <v>0.90489803096791444</v>
      </c>
      <c r="H19" s="2">
        <f t="shared" si="3"/>
        <v>-0.54168239356425407</v>
      </c>
      <c r="I19" s="2">
        <f t="shared" si="3"/>
        <v>12.448977970011972</v>
      </c>
      <c r="J19" s="2">
        <f t="shared" si="3"/>
        <v>264.43960294794454</v>
      </c>
      <c r="K19" s="2">
        <f t="shared" si="3"/>
        <v>2.3611704591412357</v>
      </c>
      <c r="L19" s="2">
        <f t="shared" si="3"/>
        <v>5.9842170889566484</v>
      </c>
      <c r="M19" s="2">
        <f t="shared" si="3"/>
        <v>1.2398378533411016</v>
      </c>
      <c r="N19" s="2">
        <f t="shared" si="3"/>
        <v>-0.84117105786319757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-1352.8658328367126</v>
      </c>
      <c r="D20" s="2">
        <f t="shared" si="4"/>
        <v>107.84027201627953</v>
      </c>
      <c r="E20" s="2">
        <f t="shared" si="4"/>
        <v>-4.0316797524082215</v>
      </c>
      <c r="F20" s="2">
        <f t="shared" si="4"/>
        <v>-75.740683581440152</v>
      </c>
      <c r="G20" s="2">
        <f t="shared" si="4"/>
        <v>-4.7546946122976621</v>
      </c>
      <c r="H20" s="2">
        <f t="shared" si="4"/>
        <v>4.2501655059980283</v>
      </c>
      <c r="I20" s="2">
        <f t="shared" si="4"/>
        <v>-68.297592099001491</v>
      </c>
      <c r="J20" s="2">
        <f t="shared" si="4"/>
        <v>-1564.641864537999</v>
      </c>
      <c r="K20" s="2">
        <f t="shared" si="4"/>
        <v>-14.106404573834849</v>
      </c>
      <c r="L20" s="2">
        <f t="shared" si="4"/>
        <v>-37.699869638707646</v>
      </c>
      <c r="M20" s="2">
        <f t="shared" si="4"/>
        <v>-6.9861292780201829</v>
      </c>
      <c r="N20" s="2">
        <f t="shared" si="4"/>
        <v>6.467583435604797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0.43286930335357326</v>
      </c>
      <c r="D21" s="2">
        <f t="shared" si="5"/>
        <v>0.42954716297070566</v>
      </c>
      <c r="E21" s="2">
        <f t="shared" si="5"/>
        <v>0.65158619264859696</v>
      </c>
      <c r="F21" s="2">
        <f t="shared" si="5"/>
        <v>0.55959194957187441</v>
      </c>
      <c r="G21" s="2">
        <f t="shared" si="5"/>
        <v>7.019087977546748E-2</v>
      </c>
      <c r="H21" s="2">
        <f t="shared" si="5"/>
        <v>0.18628400361147179</v>
      </c>
      <c r="I21" s="2">
        <f t="shared" si="5"/>
        <v>0.56374616844967407</v>
      </c>
      <c r="J21" s="2">
        <f t="shared" si="5"/>
        <v>0.47428886871228398</v>
      </c>
      <c r="K21" s="2">
        <f t="shared" si="5"/>
        <v>2.6416794033898294E-2</v>
      </c>
      <c r="L21" s="2">
        <f t="shared" si="5"/>
        <v>0.10908237416101002</v>
      </c>
      <c r="M21" s="2">
        <f t="shared" si="5"/>
        <v>0.14389997427412676</v>
      </c>
      <c r="N21" s="2">
        <f t="shared" si="5"/>
        <v>0.20954126646521809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5</v>
      </c>
      <c r="D22">
        <f t="shared" ref="D22:N22" si="6">COUNT($B2:$B13)</f>
        <v>5</v>
      </c>
      <c r="E22">
        <f t="shared" si="6"/>
        <v>5</v>
      </c>
      <c r="F22">
        <f t="shared" si="6"/>
        <v>5</v>
      </c>
      <c r="G22">
        <f t="shared" si="6"/>
        <v>5</v>
      </c>
      <c r="H22">
        <f t="shared" si="6"/>
        <v>5</v>
      </c>
      <c r="I22">
        <f t="shared" si="6"/>
        <v>5</v>
      </c>
      <c r="J22">
        <f t="shared" si="6"/>
        <v>5</v>
      </c>
      <c r="K22">
        <f t="shared" si="6"/>
        <v>5</v>
      </c>
      <c r="L22">
        <f t="shared" si="6"/>
        <v>5</v>
      </c>
      <c r="M22">
        <f t="shared" si="6"/>
        <v>5</v>
      </c>
      <c r="N22">
        <f t="shared" si="6"/>
        <v>5</v>
      </c>
    </row>
    <row r="23" spans="1:22" x14ac:dyDescent="0.2">
      <c r="A23" t="s">
        <v>34</v>
      </c>
      <c r="C23">
        <f t="shared" ref="C23:N23" si="7">C22-2</f>
        <v>3</v>
      </c>
      <c r="D23">
        <f t="shared" si="7"/>
        <v>3</v>
      </c>
      <c r="E23">
        <f t="shared" si="7"/>
        <v>3</v>
      </c>
      <c r="F23">
        <f t="shared" si="7"/>
        <v>3</v>
      </c>
      <c r="G23">
        <f t="shared" si="7"/>
        <v>3</v>
      </c>
      <c r="H23">
        <f t="shared" si="7"/>
        <v>3</v>
      </c>
      <c r="I23">
        <f t="shared" si="7"/>
        <v>3</v>
      </c>
      <c r="J23">
        <f t="shared" si="7"/>
        <v>3</v>
      </c>
      <c r="K23">
        <f t="shared" si="7"/>
        <v>3</v>
      </c>
      <c r="L23">
        <f t="shared" si="7"/>
        <v>3</v>
      </c>
      <c r="M23">
        <f t="shared" si="7"/>
        <v>3</v>
      </c>
      <c r="N23">
        <f t="shared" si="7"/>
        <v>3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1.5132038745607832</v>
      </c>
      <c r="D24" s="2">
        <f t="shared" si="8"/>
        <v>-1.5029903170936296</v>
      </c>
      <c r="E24" s="2">
        <f t="shared" si="8"/>
        <v>2.3686390510796422</v>
      </c>
      <c r="F24" s="2">
        <f t="shared" si="8"/>
        <v>1.9523996981228549</v>
      </c>
      <c r="G24" s="2">
        <f t="shared" si="8"/>
        <v>0.47588725015085143</v>
      </c>
      <c r="H24" s="2">
        <f t="shared" si="8"/>
        <v>-0.82872794212463707</v>
      </c>
      <c r="I24" s="2">
        <f t="shared" si="8"/>
        <v>1.9689414499037392</v>
      </c>
      <c r="J24" s="2">
        <f t="shared" si="8"/>
        <v>1.6451613841794615</v>
      </c>
      <c r="K24" s="2">
        <f t="shared" si="8"/>
        <v>0.28530812883170942</v>
      </c>
      <c r="L24" s="2">
        <f t="shared" si="8"/>
        <v>0.60606491386833317</v>
      </c>
      <c r="M24" s="2">
        <f t="shared" si="8"/>
        <v>0.71011507188156153</v>
      </c>
      <c r="N24" s="2">
        <f t="shared" si="8"/>
        <v>-0.89177605811478644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0.22743828494482307</v>
      </c>
      <c r="D25" s="2">
        <f t="shared" si="9"/>
        <v>0.22986731165399096</v>
      </c>
      <c r="E25" s="2">
        <f t="shared" si="9"/>
        <v>9.8625336555788867E-2</v>
      </c>
      <c r="F25" s="2">
        <f t="shared" si="9"/>
        <v>0.14593115623907282</v>
      </c>
      <c r="G25" s="2">
        <f t="shared" si="9"/>
        <v>0.66666233298983968</v>
      </c>
      <c r="H25" s="2">
        <f t="shared" si="9"/>
        <v>0.46803516605013912</v>
      </c>
      <c r="I25" s="2">
        <f t="shared" si="9"/>
        <v>0.14359484185959681</v>
      </c>
      <c r="J25" s="2">
        <f t="shared" si="9"/>
        <v>0.19848667445363655</v>
      </c>
      <c r="K25" s="2">
        <f t="shared" si="9"/>
        <v>0.79397204227258888</v>
      </c>
      <c r="L25" s="2">
        <f t="shared" si="9"/>
        <v>0.58725474662957544</v>
      </c>
      <c r="M25" s="2">
        <f t="shared" si="9"/>
        <v>0.52885503674429946</v>
      </c>
      <c r="N25" s="2">
        <f t="shared" si="9"/>
        <v>0.43821380161405538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0.19749206349206183</v>
      </c>
    </row>
  </sheetData>
  <conditionalFormatting sqref="C25:N25">
    <cfRule type="cellIs" dxfId="4" priority="1" operator="lessThan">
      <formula>0.05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87AA-B3B8-A44D-93F4-B753A1E7DC8B}">
  <dimension ref="A1:V26"/>
  <sheetViews>
    <sheetView workbookViewId="0">
      <selection activeCell="A26" sqref="A26:B26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56</v>
      </c>
      <c r="B1" t="s">
        <v>57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4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111.1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0.51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0.92400000000000004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0.54100000000000004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11.68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150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1.1970000000000001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1.1970000000000001</v>
      </c>
      <c r="O2" s="1"/>
      <c r="P2" s="1"/>
    </row>
    <row r="3" spans="1:22" x14ac:dyDescent="0.2">
      <c r="A3" t="s">
        <v>14</v>
      </c>
      <c r="B3">
        <v>7.0676250000000005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114.1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-3.2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11.6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0.77200000000000002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0.60399999999999998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12.82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160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1.5720000000000001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1.167</v>
      </c>
      <c r="O3" s="1"/>
      <c r="P3" s="1"/>
      <c r="T3" s="1"/>
      <c r="U3" s="1"/>
      <c r="V3" s="1"/>
    </row>
    <row r="4" spans="1:22" x14ac:dyDescent="0.2">
      <c r="A4" t="s">
        <v>0</v>
      </c>
      <c r="B4">
        <v>7.1714285714285708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143.80000000000001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0.49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10.5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1.1639999999999999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0.84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14.45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180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0.997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0.94699999999999995</v>
      </c>
      <c r="O4" s="1"/>
      <c r="P4" s="1"/>
      <c r="T4" s="1"/>
      <c r="U4" s="1"/>
      <c r="V4" s="1"/>
    </row>
    <row r="5" spans="1:22" x14ac:dyDescent="0.2">
      <c r="A5" t="s">
        <v>17</v>
      </c>
      <c r="B5">
        <v>7.2061250000000001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162.9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1.9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5.7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1.363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1.21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16.25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0.436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0.81</v>
      </c>
      <c r="O5" s="1"/>
      <c r="P5" s="1"/>
      <c r="T5" s="1"/>
      <c r="U5" s="1"/>
      <c r="V5" s="1"/>
    </row>
    <row r="6" spans="1:22" x14ac:dyDescent="0.2">
      <c r="A6" t="s">
        <v>2</v>
      </c>
      <c r="B6">
        <v>7.153428571428571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140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4.2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0.39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5.9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1.9650000000000001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21.57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0.38700000000000001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0.77200000000000002</v>
      </c>
      <c r="O6" s="1"/>
      <c r="P6" s="1"/>
      <c r="T6" s="1"/>
      <c r="U6" s="1"/>
      <c r="V6" s="1"/>
    </row>
    <row r="7" spans="1:22" x14ac:dyDescent="0.2">
      <c r="A7" t="s">
        <v>5</v>
      </c>
      <c r="B7">
        <v>7.1554545454545462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138.4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12.3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1.504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0.56699999999999995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13.57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190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0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4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1.149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0.76100000000000001</v>
      </c>
      <c r="O7" s="1"/>
      <c r="P7" s="1"/>
      <c r="T7" s="1"/>
      <c r="U7" s="1"/>
      <c r="V7" s="1"/>
    </row>
    <row r="8" spans="1:22" x14ac:dyDescent="0.2">
      <c r="A8" t="s">
        <v>20</v>
      </c>
      <c r="B8">
        <v>7.0208235294117642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173.4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-4.5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0.53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10.5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1.224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0.92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14.28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225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5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0.91200000000000003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0.89300000000000002</v>
      </c>
      <c r="O8" s="1"/>
      <c r="P8" s="1"/>
      <c r="T8" s="1"/>
      <c r="U8" s="1"/>
      <c r="V8" s="1"/>
    </row>
    <row r="9" spans="1:22" x14ac:dyDescent="0.2">
      <c r="A9" t="s">
        <v>16</v>
      </c>
      <c r="B9">
        <v>7.1340000000000003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153.19999999999999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-3.2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0.32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10.4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1.0029999999999999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0.86299999999999999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13.69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195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2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2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0.97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1.0680000000000001</v>
      </c>
      <c r="O9" s="1"/>
      <c r="P9" s="1"/>
      <c r="T9" s="1"/>
      <c r="U9" s="1"/>
      <c r="V9" s="1"/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N15" si="0">AVERAGE(B2:B13)</f>
        <v>7.1329486151783952</v>
      </c>
      <c r="C15" s="1">
        <f t="shared" si="0"/>
        <v>142.11249999999998</v>
      </c>
      <c r="D15" s="1">
        <f t="shared" si="0"/>
        <v>-1.9124999999999996</v>
      </c>
      <c r="E15" s="1">
        <f t="shared" si="0"/>
        <v>0.43749999999999994</v>
      </c>
      <c r="F15" s="1">
        <f t="shared" si="0"/>
        <v>9.9875000000000007</v>
      </c>
      <c r="G15" s="1">
        <f t="shared" si="0"/>
        <v>1.1180000000000001</v>
      </c>
      <c r="H15" s="1">
        <f t="shared" si="0"/>
        <v>0.93874999999999997</v>
      </c>
      <c r="I15" s="1">
        <f t="shared" si="0"/>
        <v>14.78875</v>
      </c>
      <c r="J15" s="1">
        <f t="shared" si="0"/>
        <v>180</v>
      </c>
      <c r="K15" s="1">
        <f t="shared" si="0"/>
        <v>1.375</v>
      </c>
      <c r="L15" s="1">
        <f t="shared" si="0"/>
        <v>1.75</v>
      </c>
      <c r="M15" s="1">
        <f t="shared" si="0"/>
        <v>0.95250000000000001</v>
      </c>
      <c r="N15" s="1">
        <f t="shared" si="0"/>
        <v>0.95187500000000003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N16" si="1">STDEV(B2:B13)</f>
        <v>5.9851046868891512E-2</v>
      </c>
      <c r="C16" s="1">
        <f t="shared" si="1"/>
        <v>21.717434569619822</v>
      </c>
      <c r="D16" s="1">
        <f t="shared" si="1"/>
        <v>3.1502550917119629</v>
      </c>
      <c r="E16" s="1">
        <f t="shared" si="1"/>
        <v>8.9402780397799711E-2</v>
      </c>
      <c r="F16" s="1">
        <f t="shared" si="1"/>
        <v>2.7466538083379075</v>
      </c>
      <c r="G16" s="1">
        <f t="shared" si="1"/>
        <v>0.24181870422753721</v>
      </c>
      <c r="H16" s="1">
        <f t="shared" si="1"/>
        <v>0.47072398645976338</v>
      </c>
      <c r="I16" s="1">
        <f t="shared" si="1"/>
        <v>3.0408431044225672</v>
      </c>
      <c r="J16" s="1">
        <f t="shared" si="1"/>
        <v>24.784787961282106</v>
      </c>
      <c r="K16" s="1">
        <f t="shared" si="1"/>
        <v>1.7677669529663689</v>
      </c>
      <c r="L16" s="1">
        <f t="shared" si="1"/>
        <v>1.6690459207925603</v>
      </c>
      <c r="M16" s="1">
        <f t="shared" si="1"/>
        <v>0.3914555256621477</v>
      </c>
      <c r="N16" s="1">
        <f t="shared" si="1"/>
        <v>0.17413331305148264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2">CORREL($B2:$B13,C2:C13)</f>
        <v>-9.6935666653150926E-2</v>
      </c>
      <c r="D18" s="1">
        <f t="shared" si="2"/>
        <v>0.48922607346670982</v>
      </c>
      <c r="E18" s="1">
        <f t="shared" si="2"/>
        <v>-0.48044110651367139</v>
      </c>
      <c r="F18" s="1">
        <f t="shared" si="2"/>
        <v>-0.36717291918571493</v>
      </c>
      <c r="G18" s="1">
        <f t="shared" si="2"/>
        <v>0.31723341442980185</v>
      </c>
      <c r="H18" s="1">
        <f t="shared" si="2"/>
        <v>0.2227886202662866</v>
      </c>
      <c r="I18" s="1">
        <f t="shared" si="2"/>
        <v>0.25291353587852988</v>
      </c>
      <c r="J18" s="1">
        <f t="shared" si="2"/>
        <v>-0.41382818787239783</v>
      </c>
      <c r="K18" s="1">
        <f t="shared" si="2"/>
        <v>-0.82661941398400307</v>
      </c>
      <c r="L18" s="1">
        <f t="shared" si="2"/>
        <v>0.17941781730089554</v>
      </c>
      <c r="M18" s="1">
        <f t="shared" si="2"/>
        <v>-0.45018424904365378</v>
      </c>
      <c r="N18" s="1">
        <f t="shared" si="2"/>
        <v>-0.28162390953146288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3">SLOPE(C2:C13, $B2:$B13)</f>
        <v>-35.173887645004271</v>
      </c>
      <c r="D19" s="2">
        <f t="shared" si="3"/>
        <v>25.750375466495111</v>
      </c>
      <c r="E19" s="2">
        <f t="shared" si="3"/>
        <v>-0.71766114356878286</v>
      </c>
      <c r="F19" s="2">
        <f t="shared" si="3"/>
        <v>-16.850112897927819</v>
      </c>
      <c r="G19" s="2">
        <f t="shared" si="3"/>
        <v>1.2817315189680518</v>
      </c>
      <c r="H19" s="2">
        <f t="shared" si="3"/>
        <v>1.7522157582196882</v>
      </c>
      <c r="I19" s="2">
        <f t="shared" si="3"/>
        <v>12.84973984291482</v>
      </c>
      <c r="J19" s="2">
        <f t="shared" si="3"/>
        <v>-171.36949853670879</v>
      </c>
      <c r="K19" s="2">
        <f t="shared" si="3"/>
        <v>-24.415119854501054</v>
      </c>
      <c r="L19" s="2">
        <f t="shared" si="3"/>
        <v>5.0033640470741982</v>
      </c>
      <c r="M19" s="2">
        <f t="shared" si="3"/>
        <v>-2.9444282276338845</v>
      </c>
      <c r="N19" s="2">
        <f t="shared" si="3"/>
        <v>-0.81936920015201997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4">INTERCEPT(C2:C13, $B2:$B13)</f>
        <v>393.00603316787362</v>
      </c>
      <c r="D20" s="2">
        <f t="shared" si="4"/>
        <v>-185.58860502406003</v>
      </c>
      <c r="E20" s="2">
        <f t="shared" si="4"/>
        <v>5.5565400601862933</v>
      </c>
      <c r="F20" s="2">
        <f t="shared" si="4"/>
        <v>130.17848946087386</v>
      </c>
      <c r="G20" s="2">
        <f t="shared" si="4"/>
        <v>-8.024525063253666</v>
      </c>
      <c r="H20" s="2">
        <f t="shared" si="4"/>
        <v>-11.559714966086887</v>
      </c>
      <c r="I20" s="2">
        <f t="shared" si="4"/>
        <v>-76.867784017921906</v>
      </c>
      <c r="J20" s="2">
        <f t="shared" si="4"/>
        <v>1402.3698272712329</v>
      </c>
      <c r="K20" s="2">
        <f t="shared" si="4"/>
        <v>175.52679535557783</v>
      </c>
      <c r="L20" s="2">
        <f t="shared" si="4"/>
        <v>-33.938738650811274</v>
      </c>
      <c r="M20" s="2">
        <f t="shared" si="4"/>
        <v>21.954955248793294</v>
      </c>
      <c r="N20" s="2">
        <f t="shared" si="4"/>
        <v>6.7963934015441803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5">RSQ(C2:C13, $B2:$B13)</f>
        <v>9.3965234694907956E-3</v>
      </c>
      <c r="D21" s="2">
        <f t="shared" si="5"/>
        <v>0.23934215095965461</v>
      </c>
      <c r="E21" s="2">
        <f t="shared" si="5"/>
        <v>0.2308236568280809</v>
      </c>
      <c r="F21" s="2">
        <f t="shared" si="5"/>
        <v>0.13481595258335954</v>
      </c>
      <c r="G21" s="2">
        <f t="shared" si="5"/>
        <v>0.10063703923079045</v>
      </c>
      <c r="H21" s="2">
        <f t="shared" si="5"/>
        <v>4.9634769320155647E-2</v>
      </c>
      <c r="I21" s="2">
        <f t="shared" si="5"/>
        <v>6.3965256630580447E-2</v>
      </c>
      <c r="J21" s="2">
        <f t="shared" si="5"/>
        <v>0.17125376907775255</v>
      </c>
      <c r="K21" s="2">
        <f t="shared" si="5"/>
        <v>0.68329965557525663</v>
      </c>
      <c r="L21" s="2">
        <f t="shared" si="5"/>
        <v>3.2190753165017537E-2</v>
      </c>
      <c r="M21" s="2">
        <f t="shared" si="5"/>
        <v>0.2026658580869985</v>
      </c>
      <c r="N21" s="2">
        <f t="shared" si="5"/>
        <v>7.9312026419785589E-2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22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22" x14ac:dyDescent="0.2">
      <c r="A24" t="s">
        <v>35</v>
      </c>
      <c r="C24" s="2">
        <f t="shared" ref="C24:N24" si="8">SLOPE(C2:C13,$B2:$B13)/(STEYX(C2:C13,$B2:$B13)/SQRT(DEVSQ($B2:$B13)))</f>
        <v>-0.23856641409235746</v>
      </c>
      <c r="D24" s="2">
        <f t="shared" si="8"/>
        <v>1.3740120596947372</v>
      </c>
      <c r="E24" s="2">
        <f t="shared" si="8"/>
        <v>-1.3418464589092036</v>
      </c>
      <c r="F24" s="2">
        <f t="shared" si="8"/>
        <v>-0.96692327859930383</v>
      </c>
      <c r="G24" s="2">
        <f t="shared" si="8"/>
        <v>0.8193831937643129</v>
      </c>
      <c r="H24" s="2">
        <f t="shared" si="8"/>
        <v>0.55978771013964446</v>
      </c>
      <c r="I24" s="2">
        <f t="shared" si="8"/>
        <v>0.6403268516003513</v>
      </c>
      <c r="J24" s="2">
        <f t="shared" si="8"/>
        <v>-1.1134863855012527</v>
      </c>
      <c r="K24" s="2">
        <f t="shared" si="8"/>
        <v>-3.5979651981725285</v>
      </c>
      <c r="L24" s="2">
        <f t="shared" si="8"/>
        <v>0.44673122635817775</v>
      </c>
      <c r="M24" s="2">
        <f t="shared" si="8"/>
        <v>-1.2349396668758541</v>
      </c>
      <c r="N24" s="2">
        <f t="shared" si="8"/>
        <v>-0.71893381844493454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9">_xlfn.T.DIST.2T(ABS(C24), C23)</f>
        <v>0.81938098827085803</v>
      </c>
      <c r="D25" s="2">
        <f t="shared" si="9"/>
        <v>0.21855720622186631</v>
      </c>
      <c r="E25" s="2">
        <f t="shared" si="9"/>
        <v>0.22819525752216543</v>
      </c>
      <c r="F25" s="2">
        <f t="shared" si="9"/>
        <v>0.37092417521599574</v>
      </c>
      <c r="G25" s="2">
        <f t="shared" si="9"/>
        <v>0.44388930706959512</v>
      </c>
      <c r="H25" s="2">
        <f t="shared" si="9"/>
        <v>0.59588809008882226</v>
      </c>
      <c r="I25" s="2">
        <f t="shared" si="9"/>
        <v>0.54562116573621799</v>
      </c>
      <c r="J25" s="2">
        <f t="shared" si="9"/>
        <v>0.30810793423032218</v>
      </c>
      <c r="K25" s="2">
        <f t="shared" si="9"/>
        <v>1.1394313204050942E-2</v>
      </c>
      <c r="L25" s="2">
        <f t="shared" si="9"/>
        <v>0.67074136562009223</v>
      </c>
      <c r="M25" s="2">
        <f t="shared" si="9"/>
        <v>0.26301677185803374</v>
      </c>
      <c r="N25" s="2">
        <f t="shared" si="9"/>
        <v>0.4992110509401626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0.18530147058823587</v>
      </c>
    </row>
  </sheetData>
  <conditionalFormatting sqref="C25:N25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62CC-358F-8142-8EC5-FD3738C2C294}">
  <dimension ref="A1:S26"/>
  <sheetViews>
    <sheetView zoomScale="82" zoomScaleNormal="82" workbookViewId="0">
      <selection activeCell="J39" sqref="J39"/>
    </sheetView>
  </sheetViews>
  <sheetFormatPr baseColWidth="10" defaultRowHeight="16" x14ac:dyDescent="0.2"/>
  <sheetData>
    <row r="1" spans="1:19" x14ac:dyDescent="0.2">
      <c r="A1" t="s">
        <v>56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O1" s="3"/>
      <c r="P1" s="3"/>
    </row>
    <row r="2" spans="1:19" x14ac:dyDescent="0.2">
      <c r="A2" t="s">
        <v>4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111.1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-3.5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0.51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13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0.92400000000000004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0.54100000000000004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11.68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150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0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4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1.1970000000000001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1.1970000000000001</v>
      </c>
    </row>
    <row r="3" spans="1:19" x14ac:dyDescent="0.2">
      <c r="A3" t="s">
        <v>14</v>
      </c>
      <c r="B3">
        <v>6.1666428571428566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114.1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-3.2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0.46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11.6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0.77200000000000002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0.60399999999999998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12.82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160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1.5720000000000001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1.167</v>
      </c>
      <c r="Q3" s="1"/>
      <c r="R3" s="1"/>
      <c r="S3" s="1"/>
    </row>
    <row r="4" spans="1:19" x14ac:dyDescent="0.2">
      <c r="A4" t="s">
        <v>0</v>
      </c>
      <c r="B4">
        <v>6.1521250000000007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143.80000000000001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-3.5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0.49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10.5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1.1639999999999999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0.84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14.45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180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2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2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0.997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0.94699999999999995</v>
      </c>
      <c r="Q4" s="1"/>
      <c r="R4" s="1"/>
      <c r="S4" s="1"/>
    </row>
    <row r="5" spans="1:19" x14ac:dyDescent="0.2">
      <c r="A5" t="s">
        <v>17</v>
      </c>
      <c r="B5">
        <v>6.0867142857142857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162.9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1.9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5.7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1.363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1.21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16.25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185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0.436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0.81</v>
      </c>
      <c r="Q5" s="1"/>
      <c r="R5" s="1"/>
      <c r="S5" s="1"/>
    </row>
    <row r="6" spans="1:19" x14ac:dyDescent="0.2">
      <c r="A6" t="s">
        <v>2</v>
      </c>
      <c r="B6">
        <v>6.0168181818181816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140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4.2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0.39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5.9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0.99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1.9650000000000001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21.57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155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0.38700000000000001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0.77200000000000002</v>
      </c>
      <c r="Q6" s="1"/>
      <c r="R6" s="1"/>
      <c r="S6" s="1"/>
    </row>
    <row r="7" spans="1:19" x14ac:dyDescent="0.2">
      <c r="A7" t="s">
        <v>5</v>
      </c>
      <c r="B7">
        <v>6.6215000000000002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138.4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12.3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1.504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0.56699999999999995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13.57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190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0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4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1.149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0.76100000000000001</v>
      </c>
      <c r="Q7" s="1"/>
      <c r="R7" s="1"/>
      <c r="S7" s="1"/>
    </row>
    <row r="8" spans="1:19" x14ac:dyDescent="0.2">
      <c r="A8" t="s">
        <v>20</v>
      </c>
      <c r="B8">
        <v>6.1913750000000007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173.4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-4.5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0.53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10.5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1.224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0.92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14.28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225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5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0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0.91200000000000003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0.89300000000000002</v>
      </c>
      <c r="Q8" s="1"/>
      <c r="R8" s="1"/>
      <c r="S8" s="1"/>
    </row>
    <row r="9" spans="1:19" x14ac:dyDescent="0.2">
      <c r="A9" t="s">
        <v>16</v>
      </c>
      <c r="B9">
        <v>6.2204285714285712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153.19999999999999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-3.2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0.32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10.4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1.0029999999999999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0.86299999999999999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13.69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195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2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2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0.97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1.0680000000000001</v>
      </c>
      <c r="Q9" s="1"/>
      <c r="R9" s="1"/>
      <c r="S9" s="1"/>
    </row>
    <row r="14" spans="1:19" x14ac:dyDescent="0.2">
      <c r="A14" t="s">
        <v>37</v>
      </c>
    </row>
    <row r="15" spans="1:19" x14ac:dyDescent="0.2">
      <c r="A15" t="s">
        <v>26</v>
      </c>
      <c r="B15" s="1">
        <f t="shared" ref="B15:N15" si="0">AVERAGE(B2:B13)</f>
        <v>6.2451959249691917</v>
      </c>
      <c r="C15" s="1">
        <f t="shared" si="0"/>
        <v>142.11249999999998</v>
      </c>
      <c r="D15" s="1">
        <f t="shared" si="0"/>
        <v>-1.9124999999999996</v>
      </c>
      <c r="E15" s="1">
        <f t="shared" si="0"/>
        <v>0.43749999999999994</v>
      </c>
      <c r="F15" s="1">
        <f t="shared" si="0"/>
        <v>9.9875000000000007</v>
      </c>
      <c r="G15" s="1">
        <f t="shared" si="0"/>
        <v>1.1180000000000001</v>
      </c>
      <c r="H15" s="1">
        <f t="shared" si="0"/>
        <v>0.93874999999999997</v>
      </c>
      <c r="I15" s="1">
        <f t="shared" si="0"/>
        <v>14.78875</v>
      </c>
      <c r="J15" s="1">
        <f t="shared" si="0"/>
        <v>180</v>
      </c>
      <c r="K15" s="1">
        <f t="shared" si="0"/>
        <v>1.375</v>
      </c>
      <c r="L15" s="1">
        <f t="shared" si="0"/>
        <v>1.75</v>
      </c>
      <c r="M15" s="1">
        <f t="shared" si="0"/>
        <v>0.95250000000000001</v>
      </c>
      <c r="N15" s="1">
        <f t="shared" si="0"/>
        <v>0.95187500000000003</v>
      </c>
      <c r="O15" s="1"/>
      <c r="P15" s="1"/>
      <c r="Q15" s="1"/>
      <c r="R15" s="1"/>
      <c r="S15" s="1"/>
    </row>
    <row r="16" spans="1:19" x14ac:dyDescent="0.2">
      <c r="A16" t="s">
        <v>27</v>
      </c>
      <c r="B16" s="1">
        <f t="shared" ref="B16:N16" si="1">STDEV(B2:B13)</f>
        <v>0.2088130420902253</v>
      </c>
      <c r="C16" s="1">
        <f t="shared" si="1"/>
        <v>21.717434569619822</v>
      </c>
      <c r="D16" s="1">
        <f t="shared" si="1"/>
        <v>3.1502550917119629</v>
      </c>
      <c r="E16" s="1">
        <f t="shared" si="1"/>
        <v>8.9402780397799711E-2</v>
      </c>
      <c r="F16" s="1">
        <f t="shared" si="1"/>
        <v>2.7466538083379075</v>
      </c>
      <c r="G16" s="1">
        <f t="shared" si="1"/>
        <v>0.24181870422753721</v>
      </c>
      <c r="H16" s="1">
        <f t="shared" si="1"/>
        <v>0.47072398645976338</v>
      </c>
      <c r="I16" s="1">
        <f t="shared" si="1"/>
        <v>3.0408431044225672</v>
      </c>
      <c r="J16" s="1">
        <f t="shared" si="1"/>
        <v>24.784787961282106</v>
      </c>
      <c r="K16" s="1">
        <f t="shared" si="1"/>
        <v>1.7677669529663689</v>
      </c>
      <c r="L16" s="1">
        <f t="shared" si="1"/>
        <v>1.6690459207925603</v>
      </c>
      <c r="M16" s="1">
        <f t="shared" si="1"/>
        <v>0.3914555256621477</v>
      </c>
      <c r="N16" s="1">
        <f t="shared" si="1"/>
        <v>0.17413331305148264</v>
      </c>
      <c r="O16" s="1"/>
      <c r="P16" s="1"/>
      <c r="Q16" s="1"/>
      <c r="R16" s="1"/>
      <c r="S16" s="1"/>
    </row>
    <row r="18" spans="1:19" x14ac:dyDescent="0.2">
      <c r="A18" t="s">
        <v>28</v>
      </c>
      <c r="C18" s="1">
        <f t="shared" ref="C18:N18" si="2">CORREL($B2:$B13,C2:C13)</f>
        <v>-0.38467492807520393</v>
      </c>
      <c r="D18" s="1">
        <f t="shared" si="2"/>
        <v>-0.56279115384823319</v>
      </c>
      <c r="E18" s="1">
        <f t="shared" si="2"/>
        <v>0.50766954357604022</v>
      </c>
      <c r="F18" s="1">
        <f t="shared" si="2"/>
        <v>0.76133670732526459</v>
      </c>
      <c r="G18" s="1">
        <f t="shared" si="2"/>
        <v>0.29737130529290656</v>
      </c>
      <c r="H18" s="1">
        <f t="shared" si="2"/>
        <v>-0.70140000517083256</v>
      </c>
      <c r="I18" s="1">
        <f t="shared" si="2"/>
        <v>-0.6319277608513717</v>
      </c>
      <c r="J18" s="1">
        <f t="shared" si="2"/>
        <v>-1.0084595738429647E-2</v>
      </c>
      <c r="K18" s="1">
        <f t="shared" si="2"/>
        <v>-0.25615532489929316</v>
      </c>
      <c r="L18" s="1">
        <f t="shared" si="2"/>
        <v>0.88353726463469973</v>
      </c>
      <c r="M18" s="1">
        <f t="shared" si="2"/>
        <v>0.52018967836997276</v>
      </c>
      <c r="N18" s="1">
        <f t="shared" si="2"/>
        <v>0.15520906715183197</v>
      </c>
      <c r="O18" s="1"/>
      <c r="P18" s="1"/>
      <c r="Q18" s="1"/>
      <c r="R18" s="1"/>
      <c r="S18" s="1"/>
    </row>
    <row r="19" spans="1:19" x14ac:dyDescent="0.2">
      <c r="A19" t="s">
        <v>30</v>
      </c>
      <c r="C19" s="2">
        <f t="shared" ref="C19:N19" si="3">SLOPE(C2:C13, $B2:$B13)</f>
        <v>-40.007810323632476</v>
      </c>
      <c r="D19" s="2">
        <f t="shared" si="3"/>
        <v>-8.4905410133088584</v>
      </c>
      <c r="E19" s="2">
        <f t="shared" si="3"/>
        <v>0.21735744216287331</v>
      </c>
      <c r="F19" s="2">
        <f t="shared" si="3"/>
        <v>10.014357080717371</v>
      </c>
      <c r="G19" s="2">
        <f t="shared" si="3"/>
        <v>0.3443747718081282</v>
      </c>
      <c r="H19" s="2">
        <f t="shared" si="3"/>
        <v>-1.5811551004283189</v>
      </c>
      <c r="I19" s="2">
        <f t="shared" si="3"/>
        <v>-9.2024576379084273</v>
      </c>
      <c r="J19" s="2">
        <f t="shared" si="3"/>
        <v>-1.1969777584305783</v>
      </c>
      <c r="K19" s="2">
        <f t="shared" si="3"/>
        <v>-2.168556684249995</v>
      </c>
      <c r="L19" s="2">
        <f t="shared" si="3"/>
        <v>7.0621272150691619</v>
      </c>
      <c r="M19" s="2">
        <f t="shared" si="3"/>
        <v>0.97518393464310071</v>
      </c>
      <c r="N19" s="2">
        <f t="shared" si="3"/>
        <v>0.12943190141878466</v>
      </c>
      <c r="R19" s="2"/>
      <c r="S19" s="2"/>
    </row>
    <row r="20" spans="1:19" x14ac:dyDescent="0.2">
      <c r="A20" t="s">
        <v>31</v>
      </c>
      <c r="C20" s="2">
        <f t="shared" ref="C20:N20" si="4">INTERCEPT(C2:C13, $B2:$B13)</f>
        <v>391.96911400008992</v>
      </c>
      <c r="D20" s="2">
        <f t="shared" si="4"/>
        <v>51.112592137100272</v>
      </c>
      <c r="E20" s="2">
        <f t="shared" si="4"/>
        <v>-0.91993981205730324</v>
      </c>
      <c r="F20" s="2">
        <f t="shared" si="4"/>
        <v>-52.554122031682496</v>
      </c>
      <c r="G20" s="2">
        <f t="shared" si="4"/>
        <v>-1.0326879215583176</v>
      </c>
      <c r="H20" s="2">
        <f t="shared" si="4"/>
        <v>10.813373389939191</v>
      </c>
      <c r="I20" s="2">
        <f t="shared" si="4"/>
        <v>72.259900939967324</v>
      </c>
      <c r="J20" s="2">
        <f t="shared" si="4"/>
        <v>187.47536061922941</v>
      </c>
      <c r="K20" s="2">
        <f t="shared" si="4"/>
        <v>14.918061367542771</v>
      </c>
      <c r="L20" s="2">
        <f t="shared" si="4"/>
        <v>-42.354368105163957</v>
      </c>
      <c r="M20" s="2">
        <f t="shared" si="4"/>
        <v>-5.1377147347285153</v>
      </c>
      <c r="N20" s="2">
        <f t="shared" si="4"/>
        <v>0.14354741669839188</v>
      </c>
      <c r="R20" s="2"/>
      <c r="S20" s="2"/>
    </row>
    <row r="21" spans="1:19" x14ac:dyDescent="0.2">
      <c r="A21" t="s">
        <v>32</v>
      </c>
      <c r="C21" s="2">
        <f t="shared" ref="C21:N21" si="5">RSQ(C2:C13, $B2:$B13)</f>
        <v>0.14797480028966331</v>
      </c>
      <c r="D21" s="2">
        <f t="shared" si="5"/>
        <v>0.31673388284982579</v>
      </c>
      <c r="E21" s="2">
        <f t="shared" si="5"/>
        <v>0.25772836547470512</v>
      </c>
      <c r="F21" s="2">
        <f t="shared" si="5"/>
        <v>0.57963358192087577</v>
      </c>
      <c r="G21" s="2">
        <f t="shared" si="5"/>
        <v>8.8429693211607069E-2</v>
      </c>
      <c r="H21" s="2">
        <f t="shared" si="5"/>
        <v>0.49196196725364411</v>
      </c>
      <c r="I21" s="2">
        <f t="shared" si="5"/>
        <v>0.39933269493462858</v>
      </c>
      <c r="J21" s="2">
        <f t="shared" si="5"/>
        <v>1.0169907120755341E-4</v>
      </c>
      <c r="K21" s="2">
        <f t="shared" si="5"/>
        <v>6.5615550474262471E-2</v>
      </c>
      <c r="L21" s="2">
        <f t="shared" si="5"/>
        <v>0.78063809799816763</v>
      </c>
      <c r="M21" s="2">
        <f t="shared" si="5"/>
        <v>0.27059730148265571</v>
      </c>
      <c r="N21" s="2">
        <f t="shared" si="5"/>
        <v>2.4089854526141884E-2</v>
      </c>
      <c r="R21" s="2"/>
      <c r="S21" s="2"/>
    </row>
    <row r="22" spans="1:19" x14ac:dyDescent="0.2">
      <c r="A22" t="s">
        <v>33</v>
      </c>
      <c r="C22">
        <f>COUNT($B2:$B13)</f>
        <v>8</v>
      </c>
      <c r="D22">
        <f t="shared" ref="D22:N22" si="6">COUNT($B2:$B13)</f>
        <v>8</v>
      </c>
      <c r="E22">
        <f t="shared" si="6"/>
        <v>8</v>
      </c>
      <c r="F22">
        <f t="shared" si="6"/>
        <v>8</v>
      </c>
      <c r="G22">
        <f t="shared" si="6"/>
        <v>8</v>
      </c>
      <c r="H22">
        <f t="shared" si="6"/>
        <v>8</v>
      </c>
      <c r="I22">
        <f t="shared" si="6"/>
        <v>8</v>
      </c>
      <c r="J22">
        <f t="shared" si="6"/>
        <v>8</v>
      </c>
      <c r="K22">
        <f t="shared" si="6"/>
        <v>8</v>
      </c>
      <c r="L22">
        <f t="shared" si="6"/>
        <v>8</v>
      </c>
      <c r="M22">
        <f t="shared" si="6"/>
        <v>8</v>
      </c>
      <c r="N22">
        <f t="shared" si="6"/>
        <v>8</v>
      </c>
    </row>
    <row r="23" spans="1:19" x14ac:dyDescent="0.2">
      <c r="A23" t="s">
        <v>34</v>
      </c>
      <c r="C23">
        <f t="shared" ref="C23:N23" si="7">C22-2</f>
        <v>6</v>
      </c>
      <c r="D23">
        <f t="shared" si="7"/>
        <v>6</v>
      </c>
      <c r="E23">
        <f t="shared" si="7"/>
        <v>6</v>
      </c>
      <c r="F23">
        <f t="shared" si="7"/>
        <v>6</v>
      </c>
      <c r="G23">
        <f t="shared" si="7"/>
        <v>6</v>
      </c>
      <c r="H23">
        <f t="shared" si="7"/>
        <v>6</v>
      </c>
      <c r="I23">
        <f t="shared" si="7"/>
        <v>6</v>
      </c>
      <c r="J23">
        <f t="shared" si="7"/>
        <v>6</v>
      </c>
      <c r="K23">
        <f t="shared" si="7"/>
        <v>6</v>
      </c>
      <c r="L23">
        <f t="shared" si="7"/>
        <v>6</v>
      </c>
      <c r="M23">
        <f t="shared" si="7"/>
        <v>6</v>
      </c>
      <c r="N23">
        <f t="shared" si="7"/>
        <v>6</v>
      </c>
    </row>
    <row r="24" spans="1:19" x14ac:dyDescent="0.2">
      <c r="A24" t="s">
        <v>35</v>
      </c>
      <c r="C24" s="2">
        <f t="shared" ref="C24:N24" si="8">SLOPE(C2:C13,$B2:$B13)/(STEYX(C2:C13,$B2:$B13)/SQRT(DEVSQ($B2:$B13)))</f>
        <v>-1.0208061704730531</v>
      </c>
      <c r="D24" s="2">
        <f t="shared" si="8"/>
        <v>-1.6677384638513997</v>
      </c>
      <c r="E24" s="2">
        <f t="shared" si="8"/>
        <v>1.443362117574142</v>
      </c>
      <c r="F24" s="2">
        <f t="shared" si="8"/>
        <v>2.8763278584787662</v>
      </c>
      <c r="G24" s="2">
        <f t="shared" si="8"/>
        <v>0.76292105255155507</v>
      </c>
      <c r="H24" s="2">
        <f t="shared" si="8"/>
        <v>-2.4104230801093101</v>
      </c>
      <c r="I24" s="2">
        <f t="shared" si="8"/>
        <v>-1.9972207200266128</v>
      </c>
      <c r="J24" s="2">
        <f t="shared" si="8"/>
        <v>-2.4703370008230207E-2</v>
      </c>
      <c r="K24" s="2">
        <f t="shared" si="8"/>
        <v>-0.64910688022106899</v>
      </c>
      <c r="L24" s="2">
        <f t="shared" si="8"/>
        <v>4.6208289766936277</v>
      </c>
      <c r="M24" s="2">
        <f t="shared" si="8"/>
        <v>1.4919479532310826</v>
      </c>
      <c r="N24" s="2">
        <f t="shared" si="8"/>
        <v>0.38484672705008283</v>
      </c>
      <c r="R24" s="2"/>
      <c r="S24" s="2"/>
    </row>
    <row r="25" spans="1:19" x14ac:dyDescent="0.2">
      <c r="A25" t="s">
        <v>29</v>
      </c>
      <c r="C25" s="2">
        <f t="shared" ref="C25:N25" si="9">_xlfn.T.DIST.2T(ABS(C24), C23)</f>
        <v>0.34672861048147985</v>
      </c>
      <c r="D25" s="2">
        <f t="shared" si="9"/>
        <v>0.14641309316316828</v>
      </c>
      <c r="E25" s="2">
        <f t="shared" si="9"/>
        <v>0.19902513428127461</v>
      </c>
      <c r="F25" s="2">
        <f t="shared" si="9"/>
        <v>2.8192764074733135E-2</v>
      </c>
      <c r="G25" s="2">
        <f t="shared" si="9"/>
        <v>0.47442734896043159</v>
      </c>
      <c r="H25" s="2">
        <f t="shared" si="9"/>
        <v>5.2543607330470386E-2</v>
      </c>
      <c r="I25" s="2">
        <f t="shared" si="9"/>
        <v>9.2782953489203693E-2</v>
      </c>
      <c r="J25" s="2">
        <f t="shared" si="9"/>
        <v>0.98109266494385627</v>
      </c>
      <c r="K25" s="2">
        <f t="shared" si="9"/>
        <v>0.54030491240604328</v>
      </c>
      <c r="L25" s="2">
        <f t="shared" si="9"/>
        <v>3.6122159307893529E-3</v>
      </c>
      <c r="M25" s="2">
        <f t="shared" si="9"/>
        <v>0.18631308337267893</v>
      </c>
      <c r="N25" s="2">
        <f t="shared" si="9"/>
        <v>0.71362292724064846</v>
      </c>
      <c r="R25" s="2"/>
      <c r="S25" s="2"/>
    </row>
    <row r="26" spans="1:19" ht="19" x14ac:dyDescent="0.25">
      <c r="A26" t="s">
        <v>89</v>
      </c>
      <c r="B26" s="7">
        <f>MAX(B2:B12)-MIN(B2:B12)</f>
        <v>0.60468181818181854</v>
      </c>
    </row>
  </sheetData>
  <conditionalFormatting sqref="C25:N25">
    <cfRule type="cellIs" dxfId="2" priority="1" operator="lessThan">
      <formula>0.05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9D7F-89E3-F846-9B85-A31919784B87}">
  <dimension ref="A1:V26"/>
  <sheetViews>
    <sheetView zoomScale="89" zoomScaleNormal="89" workbookViewId="0">
      <selection activeCell="C28" sqref="C28"/>
    </sheetView>
  </sheetViews>
  <sheetFormatPr baseColWidth="10" defaultRowHeight="16" x14ac:dyDescent="0.2"/>
  <cols>
    <col min="15" max="15" width="12.83203125" bestFit="1" customWidth="1"/>
  </cols>
  <sheetData>
    <row r="1" spans="1:22" x14ac:dyDescent="0.2">
      <c r="A1" t="s">
        <v>38</v>
      </c>
      <c r="B1" t="s">
        <v>36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  <c r="Q1" s="3"/>
      <c r="R1" s="3"/>
      <c r="S1" s="3"/>
    </row>
    <row r="2" spans="1:22" x14ac:dyDescent="0.2">
      <c r="A2" t="s">
        <v>16</v>
      </c>
      <c r="B2">
        <v>7.1547037037037073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153.19999999999999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-3.2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0.32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10.4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1.0029999999999999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0.86299999999999999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13.69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195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2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2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0.97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1.0680000000000001</v>
      </c>
      <c r="O2" s="1"/>
      <c r="P2" s="1"/>
    </row>
    <row r="3" spans="1:22" x14ac:dyDescent="0.2">
      <c r="A3" t="s">
        <v>0</v>
      </c>
      <c r="B3">
        <v>7.1353749999999989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  <c r="O3" s="1"/>
      <c r="P3" s="1"/>
      <c r="T3" s="1"/>
      <c r="U3" s="1"/>
      <c r="V3" s="1"/>
    </row>
    <row r="4" spans="1:22" x14ac:dyDescent="0.2">
      <c r="A4" t="s">
        <v>1</v>
      </c>
      <c r="B4">
        <v>7.0434999999999999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88.6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1.8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8.1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1.4890000000000001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0.70899999999999996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11.5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115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0.78800000000000003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0.82399999999999995</v>
      </c>
      <c r="O4" s="1"/>
      <c r="P4" s="1"/>
      <c r="T4" s="1"/>
      <c r="U4" s="1"/>
      <c r="V4" s="1"/>
    </row>
    <row r="5" spans="1:22" x14ac:dyDescent="0.2">
      <c r="A5" t="s">
        <v>2</v>
      </c>
      <c r="B5">
        <v>6.9976250000000002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140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4.2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0.39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5.9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0.99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1.9650000000000001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21.57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155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0.38700000000000001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0.77200000000000002</v>
      </c>
      <c r="O5" s="1"/>
      <c r="P5" s="1"/>
      <c r="T5" s="1"/>
      <c r="U5" s="1"/>
      <c r="V5" s="1"/>
    </row>
    <row r="6" spans="1:22" x14ac:dyDescent="0.2">
      <c r="A6" t="s">
        <v>3</v>
      </c>
      <c r="B6">
        <v>6.9458571428571414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189.9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2.8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5.2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1.1950000000000001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1.393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19.8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210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0.624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0.79700000000000004</v>
      </c>
      <c r="O6" s="1"/>
      <c r="P6" s="1"/>
      <c r="T6" s="1"/>
      <c r="U6" s="1"/>
      <c r="V6" s="1"/>
    </row>
    <row r="7" spans="1:22" x14ac:dyDescent="0.2">
      <c r="A7" t="s">
        <v>4</v>
      </c>
      <c r="B7">
        <v>7.1637142857142857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111.1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0.51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13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0.92400000000000004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0.54100000000000004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11.68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150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0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4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1.1970000000000001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1.1970000000000001</v>
      </c>
      <c r="O7" s="1"/>
      <c r="P7" s="1"/>
      <c r="T7" s="1"/>
      <c r="U7" s="1"/>
      <c r="V7" s="1"/>
    </row>
    <row r="8" spans="1:22" x14ac:dyDescent="0.2">
      <c r="A8" t="s">
        <v>5</v>
      </c>
      <c r="B8">
        <v>7.0867999999999993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138.4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-3.5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0.5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12.3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1.504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0.56699999999999995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13.57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190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0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4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1.149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0.76100000000000001</v>
      </c>
      <c r="O8" s="1"/>
      <c r="P8" s="1"/>
      <c r="T8" s="1"/>
      <c r="U8" s="1"/>
      <c r="V8" s="1"/>
    </row>
    <row r="9" spans="1:22" x14ac:dyDescent="0.2">
      <c r="A9" t="s">
        <v>6</v>
      </c>
      <c r="B9">
        <v>7.0240000000000009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168.6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-3.9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0.47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11.3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1.1719999999999999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0.72099999999999997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15.71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200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3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1.302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0.89700000000000002</v>
      </c>
      <c r="O9" s="1"/>
      <c r="P9" s="1"/>
      <c r="T9" s="1"/>
      <c r="U9" s="1"/>
      <c r="V9" s="1"/>
    </row>
    <row r="10" spans="1:22" x14ac:dyDescent="0.2">
      <c r="A10" t="s">
        <v>14</v>
      </c>
    </row>
    <row r="11" spans="1:22" x14ac:dyDescent="0.2">
      <c r="A11" t="s">
        <v>17</v>
      </c>
    </row>
    <row r="12" spans="1:22" x14ac:dyDescent="0.2">
      <c r="A12" t="s">
        <v>20</v>
      </c>
    </row>
    <row r="14" spans="1:22" x14ac:dyDescent="0.2">
      <c r="A14" t="s">
        <v>37</v>
      </c>
    </row>
    <row r="15" spans="1:22" x14ac:dyDescent="0.2">
      <c r="A15" t="s">
        <v>26</v>
      </c>
      <c r="B15" s="1">
        <f t="shared" ref="B15:D15" si="0">AVERAGE(B2:B13)</f>
        <v>7.0689468915343916</v>
      </c>
      <c r="C15" s="1">
        <f t="shared" si="0"/>
        <v>141.69999999999999</v>
      </c>
      <c r="D15" s="1">
        <f t="shared" si="0"/>
        <v>-1.1000000000000001</v>
      </c>
      <c r="E15" s="1">
        <f t="shared" ref="E15:F15" si="1">AVERAGE(E2:E13)</f>
        <v>0.41874999999999996</v>
      </c>
      <c r="F15" s="1">
        <f t="shared" si="1"/>
        <v>9.5875000000000004</v>
      </c>
      <c r="G15" s="1">
        <f t="shared" ref="G15:I15" si="2">AVERAGE(G2:G13)</f>
        <v>1.1801250000000001</v>
      </c>
      <c r="H15" s="1">
        <f t="shared" ref="H15" si="3">AVERAGE(H2:H13)</f>
        <v>0.94987500000000002</v>
      </c>
      <c r="I15" s="1">
        <f t="shared" si="2"/>
        <v>15.24625</v>
      </c>
      <c r="J15" s="1">
        <f t="shared" ref="J15:N15" si="4">AVERAGE(J2:J13)</f>
        <v>174.375</v>
      </c>
      <c r="K15" s="1">
        <f t="shared" si="4"/>
        <v>0.875</v>
      </c>
      <c r="L15" s="1">
        <f t="shared" si="4"/>
        <v>1.5</v>
      </c>
      <c r="M15" s="1">
        <f t="shared" si="4"/>
        <v>0.92674999999999996</v>
      </c>
      <c r="N15" s="1">
        <f t="shared" si="4"/>
        <v>0.90787499999999999</v>
      </c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t="s">
        <v>27</v>
      </c>
      <c r="B16" s="1">
        <f t="shared" ref="B16:D16" si="5">STDEV(B2:B13)</f>
        <v>7.9257431105528769E-2</v>
      </c>
      <c r="C16" s="1">
        <f t="shared" si="5"/>
        <v>31.517024877720587</v>
      </c>
      <c r="D16" s="1">
        <f t="shared" si="5"/>
        <v>3.4067160559275091</v>
      </c>
      <c r="E16" s="1">
        <f t="shared" ref="E16:F16" si="6">STDEV(E2:E13)</f>
        <v>8.3227313511164816E-2</v>
      </c>
      <c r="F16" s="1">
        <f t="shared" si="6"/>
        <v>2.8905943531193938</v>
      </c>
      <c r="G16" s="1">
        <f t="shared" ref="G16:I16" si="7">STDEV(G2:G13)</f>
        <v>0.21842516698271752</v>
      </c>
      <c r="H16" s="1">
        <f t="shared" ref="H16" si="8">STDEV(H2:H13)</f>
        <v>0.48853057734393662</v>
      </c>
      <c r="I16" s="1">
        <f t="shared" si="7"/>
        <v>3.6559108206535127</v>
      </c>
      <c r="J16" s="1">
        <f t="shared" ref="J16:N16" si="9">STDEV(J2:J13)</f>
        <v>31.896876246518474</v>
      </c>
      <c r="K16" s="1">
        <f t="shared" si="9"/>
        <v>1.2464234547582249</v>
      </c>
      <c r="L16" s="1">
        <f t="shared" si="9"/>
        <v>1.7728105208558367</v>
      </c>
      <c r="M16" s="1">
        <f t="shared" si="9"/>
        <v>0.30990493934200469</v>
      </c>
      <c r="N16" s="1">
        <f t="shared" si="9"/>
        <v>0.15595094237795273</v>
      </c>
      <c r="O16" s="1"/>
      <c r="P16" s="1"/>
      <c r="Q16" s="1"/>
      <c r="R16" s="1"/>
      <c r="S16" s="1"/>
      <c r="T16" s="1"/>
      <c r="U16" s="1"/>
      <c r="V16" s="1"/>
    </row>
    <row r="18" spans="1:22" x14ac:dyDescent="0.2">
      <c r="A18" t="s">
        <v>28</v>
      </c>
      <c r="C18" s="1">
        <f t="shared" ref="C18:N18" si="10">CORREL($B2:$B13,C2:C13)</f>
        <v>-0.42907126422928488</v>
      </c>
      <c r="D18" s="1">
        <f t="shared" si="10"/>
        <v>-0.74908309450962163</v>
      </c>
      <c r="E18" s="1">
        <f t="shared" si="10"/>
        <v>0.4545910849431708</v>
      </c>
      <c r="F18" s="1">
        <f t="shared" si="10"/>
        <v>0.78945177481126516</v>
      </c>
      <c r="G18" s="1">
        <f t="shared" si="10"/>
        <v>-0.25182263279139927</v>
      </c>
      <c r="H18" s="1">
        <f t="shared" si="10"/>
        <v>-0.63039365873756292</v>
      </c>
      <c r="I18" s="1">
        <f t="shared" si="10"/>
        <v>-0.73524303353770004</v>
      </c>
      <c r="J18" s="1">
        <f t="shared" si="10"/>
        <v>-0.14311759843903513</v>
      </c>
      <c r="K18" s="1">
        <f t="shared" si="10"/>
        <v>0.24515501541881726</v>
      </c>
      <c r="L18" s="1">
        <f t="shared" si="10"/>
        <v>0.76746993710836431</v>
      </c>
      <c r="M18" s="1">
        <f t="shared" si="10"/>
        <v>0.58382312405332404</v>
      </c>
      <c r="N18" s="1">
        <f t="shared" si="10"/>
        <v>0.7751777542646946</v>
      </c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t="s">
        <v>30</v>
      </c>
      <c r="C19" s="2">
        <f t="shared" ref="C19:N19" si="11">SLOPE(C2:C13, $B2:$B13)</f>
        <v>-170.62185236642196</v>
      </c>
      <c r="D19" s="2">
        <f t="shared" si="11"/>
        <v>-32.19778094866588</v>
      </c>
      <c r="E19" s="2">
        <f t="shared" si="11"/>
        <v>0.47736085081499197</v>
      </c>
      <c r="F19" s="2">
        <f t="shared" si="11"/>
        <v>28.792061646448442</v>
      </c>
      <c r="G19" s="2">
        <f t="shared" si="11"/>
        <v>-0.69399676283038547</v>
      </c>
      <c r="H19" s="2">
        <f t="shared" si="11"/>
        <v>-3.8856492540992202</v>
      </c>
      <c r="I19" s="2">
        <f t="shared" si="11"/>
        <v>-33.914585984267212</v>
      </c>
      <c r="J19" s="2">
        <f t="shared" si="11"/>
        <v>-57.597177481448632</v>
      </c>
      <c r="K19" s="2">
        <f t="shared" si="11"/>
        <v>3.8553730168566198</v>
      </c>
      <c r="L19" s="2">
        <f t="shared" si="11"/>
        <v>17.166576811387035</v>
      </c>
      <c r="M19" s="2">
        <f t="shared" si="11"/>
        <v>2.2828101708886166</v>
      </c>
      <c r="N19" s="2">
        <f t="shared" si="11"/>
        <v>1.5252790760659796</v>
      </c>
      <c r="O19" s="2"/>
      <c r="P19" s="2"/>
      <c r="U19" s="2"/>
      <c r="V19" s="2"/>
    </row>
    <row r="20" spans="1:22" x14ac:dyDescent="0.2">
      <c r="A20" t="s">
        <v>31</v>
      </c>
      <c r="C20" s="2">
        <f t="shared" ref="C20:N20" si="12">INTERCEPT(C2:C13, $B2:$B13)</f>
        <v>1347.8168129134585</v>
      </c>
      <c r="D20" s="2">
        <f t="shared" si="12"/>
        <v>226.50440355137692</v>
      </c>
      <c r="E20" s="2">
        <f t="shared" si="12"/>
        <v>-2.95568850250885</v>
      </c>
      <c r="F20" s="2">
        <f t="shared" si="12"/>
        <v>-193.94205467652827</v>
      </c>
      <c r="G20" s="2">
        <f t="shared" si="12"/>
        <v>6.0859512593447844</v>
      </c>
      <c r="H20" s="2">
        <f t="shared" si="12"/>
        <v>28.417323216357609</v>
      </c>
      <c r="I20" s="2">
        <f t="shared" si="12"/>
        <v>254.98665717116157</v>
      </c>
      <c r="J20" s="2">
        <f t="shared" si="12"/>
        <v>581.52638871864099</v>
      </c>
      <c r="K20" s="2">
        <f t="shared" si="12"/>
        <v>-26.378427103214172</v>
      </c>
      <c r="L20" s="2">
        <f t="shared" si="12"/>
        <v>-119.84961978914075</v>
      </c>
      <c r="M20" s="2">
        <f t="shared" si="12"/>
        <v>-15.210313861466178</v>
      </c>
      <c r="N20" s="2">
        <f t="shared" si="12"/>
        <v>-9.8742417834790537</v>
      </c>
      <c r="O20" s="2"/>
      <c r="P20" s="2"/>
      <c r="U20" s="2"/>
      <c r="V20" s="2"/>
    </row>
    <row r="21" spans="1:22" x14ac:dyDescent="0.2">
      <c r="A21" t="s">
        <v>32</v>
      </c>
      <c r="C21" s="2">
        <f t="shared" ref="C21:N21" si="13">RSQ(C2:C13, $B2:$B13)</f>
        <v>0.18410214978731676</v>
      </c>
      <c r="D21" s="2">
        <f t="shared" si="13"/>
        <v>0.56112548248011052</v>
      </c>
      <c r="E21" s="2">
        <f t="shared" si="13"/>
        <v>0.20665305450980909</v>
      </c>
      <c r="F21" s="2">
        <f t="shared" si="13"/>
        <v>0.62323410475265617</v>
      </c>
      <c r="G21" s="2">
        <f t="shared" si="13"/>
        <v>6.3414638385991887E-2</v>
      </c>
      <c r="H21" s="2">
        <f t="shared" si="13"/>
        <v>0.39739616497653096</v>
      </c>
      <c r="I21" s="2">
        <f t="shared" si="13"/>
        <v>0.54058231836571946</v>
      </c>
      <c r="J21" s="2">
        <f t="shared" si="13"/>
        <v>2.0482646982956893E-2</v>
      </c>
      <c r="K21" s="2">
        <f t="shared" si="13"/>
        <v>6.0100981585000532E-2</v>
      </c>
      <c r="L21" s="2">
        <f t="shared" si="13"/>
        <v>0.58901010436511647</v>
      </c>
      <c r="M21" s="2">
        <f t="shared" si="13"/>
        <v>0.34084944017938273</v>
      </c>
      <c r="N21" s="2">
        <f t="shared" si="13"/>
        <v>0.60090055070685489</v>
      </c>
      <c r="O21" s="2"/>
      <c r="P21" s="2"/>
      <c r="U21" s="2"/>
      <c r="V21" s="2"/>
    </row>
    <row r="22" spans="1:22" x14ac:dyDescent="0.2">
      <c r="A22" t="s">
        <v>33</v>
      </c>
      <c r="C22">
        <f>COUNT($B2:$B13)</f>
        <v>8</v>
      </c>
      <c r="D22">
        <f t="shared" ref="D22:G22" si="14">COUNT($B2:$B13)</f>
        <v>8</v>
      </c>
      <c r="E22">
        <f t="shared" si="14"/>
        <v>8</v>
      </c>
      <c r="F22">
        <f t="shared" si="14"/>
        <v>8</v>
      </c>
      <c r="G22">
        <f t="shared" si="14"/>
        <v>8</v>
      </c>
      <c r="H22">
        <f t="shared" ref="H22" si="15">COUNT($B2:$B13)</f>
        <v>8</v>
      </c>
      <c r="I22">
        <f t="shared" ref="I22:N22" si="16">COUNT($B2:$B13)</f>
        <v>8</v>
      </c>
      <c r="J22">
        <f t="shared" si="16"/>
        <v>8</v>
      </c>
      <c r="K22">
        <f t="shared" si="16"/>
        <v>8</v>
      </c>
      <c r="L22">
        <f t="shared" si="16"/>
        <v>8</v>
      </c>
      <c r="M22">
        <f t="shared" si="16"/>
        <v>8</v>
      </c>
      <c r="N22">
        <f t="shared" si="16"/>
        <v>8</v>
      </c>
    </row>
    <row r="23" spans="1:22" x14ac:dyDescent="0.2">
      <c r="A23" t="s">
        <v>34</v>
      </c>
      <c r="C23">
        <f t="shared" ref="C23:N23" si="17">C22-2</f>
        <v>6</v>
      </c>
      <c r="D23">
        <f t="shared" si="17"/>
        <v>6</v>
      </c>
      <c r="E23">
        <f t="shared" si="17"/>
        <v>6</v>
      </c>
      <c r="F23">
        <f t="shared" si="17"/>
        <v>6</v>
      </c>
      <c r="G23">
        <f t="shared" si="17"/>
        <v>6</v>
      </c>
      <c r="H23">
        <f t="shared" si="17"/>
        <v>6</v>
      </c>
      <c r="I23">
        <f t="shared" si="17"/>
        <v>6</v>
      </c>
      <c r="J23">
        <f t="shared" si="17"/>
        <v>6</v>
      </c>
      <c r="K23">
        <f t="shared" si="17"/>
        <v>6</v>
      </c>
      <c r="L23">
        <f t="shared" si="17"/>
        <v>6</v>
      </c>
      <c r="M23">
        <f t="shared" si="17"/>
        <v>6</v>
      </c>
      <c r="N23">
        <f t="shared" si="17"/>
        <v>6</v>
      </c>
    </row>
    <row r="24" spans="1:22" x14ac:dyDescent="0.2">
      <c r="A24" t="s">
        <v>35</v>
      </c>
      <c r="C24" s="2">
        <f t="shared" ref="C24:N24" si="18">SLOPE(C2:C13,$B2:$B13)/(STEYX(C2:C13,$B2:$B13)/SQRT(DEVSQ($B2:$B13)))</f>
        <v>-1.1635556536266662</v>
      </c>
      <c r="D24" s="2">
        <f t="shared" si="18"/>
        <v>-2.7697172675722577</v>
      </c>
      <c r="E24" s="2">
        <f t="shared" si="18"/>
        <v>1.2501581678154852</v>
      </c>
      <c r="F24" s="2">
        <f t="shared" si="18"/>
        <v>3.1503981139198549</v>
      </c>
      <c r="G24" s="2">
        <f t="shared" si="18"/>
        <v>-0.63737746194797062</v>
      </c>
      <c r="H24" s="2">
        <f t="shared" si="18"/>
        <v>-1.9891682352091027</v>
      </c>
      <c r="I24" s="2">
        <f t="shared" si="18"/>
        <v>-2.6570681310064086</v>
      </c>
      <c r="J24" s="2">
        <f t="shared" si="18"/>
        <v>-0.35421145184345382</v>
      </c>
      <c r="K24" s="2">
        <f t="shared" si="18"/>
        <v>0.61940657303823887</v>
      </c>
      <c r="L24" s="2">
        <f t="shared" si="18"/>
        <v>2.9323879445660732</v>
      </c>
      <c r="M24" s="2">
        <f t="shared" si="18"/>
        <v>1.7614268213250748</v>
      </c>
      <c r="N24" s="2">
        <f t="shared" si="18"/>
        <v>3.0056358484564858</v>
      </c>
      <c r="O24" s="2"/>
      <c r="P24" s="2"/>
      <c r="U24" s="2"/>
      <c r="V24" s="2"/>
    </row>
    <row r="25" spans="1:22" x14ac:dyDescent="0.2">
      <c r="A25" t="s">
        <v>29</v>
      </c>
      <c r="C25" s="2">
        <f t="shared" ref="C25:N25" si="19">_xlfn.T.DIST.2T(ABS(C24), C23)</f>
        <v>0.28877901833991326</v>
      </c>
      <c r="D25" s="2">
        <f t="shared" si="19"/>
        <v>3.2434592526176906E-2</v>
      </c>
      <c r="E25" s="2">
        <f t="shared" si="19"/>
        <v>0.25778993627793645</v>
      </c>
      <c r="F25" s="2">
        <f t="shared" si="19"/>
        <v>1.9804716155146333E-2</v>
      </c>
      <c r="G25" s="2">
        <f t="shared" si="19"/>
        <v>0.54741435864006949</v>
      </c>
      <c r="H25" s="2">
        <f t="shared" si="19"/>
        <v>9.3824127913091249E-2</v>
      </c>
      <c r="I25" s="2">
        <f t="shared" si="19"/>
        <v>3.7671223509370709E-2</v>
      </c>
      <c r="J25" s="2">
        <f t="shared" si="19"/>
        <v>0.73529627071311587</v>
      </c>
      <c r="K25" s="2">
        <f t="shared" si="19"/>
        <v>0.55841984318898918</v>
      </c>
      <c r="L25" s="2">
        <f t="shared" si="19"/>
        <v>2.6205587633366379E-2</v>
      </c>
      <c r="M25" s="2">
        <f t="shared" si="19"/>
        <v>0.12864102292880805</v>
      </c>
      <c r="N25" s="2">
        <f t="shared" si="19"/>
        <v>2.3834263377632423E-2</v>
      </c>
      <c r="O25" s="2"/>
      <c r="P25" s="2"/>
      <c r="U25" s="2"/>
      <c r="V25" s="2"/>
    </row>
    <row r="26" spans="1:22" ht="19" x14ac:dyDescent="0.25">
      <c r="A26" t="s">
        <v>89</v>
      </c>
      <c r="B26" s="7">
        <f>MAX(B2:B12)-MIN(B2:B12)</f>
        <v>0.2178571428571443</v>
      </c>
    </row>
  </sheetData>
  <conditionalFormatting sqref="C25:N25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ECD9-16C0-DD4F-96A8-0814BA517BE1}">
  <dimension ref="A1:N26"/>
  <sheetViews>
    <sheetView topLeftCell="A11" workbookViewId="0">
      <selection activeCell="A36" sqref="A36"/>
    </sheetView>
  </sheetViews>
  <sheetFormatPr baseColWidth="10" defaultRowHeight="16" x14ac:dyDescent="0.2"/>
  <sheetData>
    <row r="1" spans="1:14" x14ac:dyDescent="0.2">
      <c r="A1" t="s">
        <v>38</v>
      </c>
      <c r="B1" t="s">
        <v>7</v>
      </c>
      <c r="C1" t="s">
        <v>9</v>
      </c>
      <c r="D1" t="s">
        <v>25</v>
      </c>
      <c r="E1" t="s">
        <v>40</v>
      </c>
      <c r="F1" t="s">
        <v>41</v>
      </c>
      <c r="G1" t="s">
        <v>43</v>
      </c>
      <c r="H1" t="s">
        <v>55</v>
      </c>
      <c r="I1" t="s">
        <v>71</v>
      </c>
      <c r="J1" t="s">
        <v>50</v>
      </c>
      <c r="K1" t="s">
        <v>70</v>
      </c>
      <c r="L1" t="s">
        <v>69</v>
      </c>
      <c r="M1" t="s">
        <v>82</v>
      </c>
      <c r="N1" t="s">
        <v>81</v>
      </c>
    </row>
    <row r="2" spans="1:14" x14ac:dyDescent="0.2">
      <c r="A2" t="s">
        <v>16</v>
      </c>
      <c r="B2">
        <v>6.5059635036496353</v>
      </c>
      <c r="C2">
        <f>IF(A2="G",size!$B$2,IF(A2="A",size!$B$3,IF(A2="S",size!$B$4,IF(A2="C",size!$B$5,IF(A2="D",size!$B$6,IF(A2="P",size!$B$7,IF(A2="N",size!$B$8,IF(A2="T",size!$B$9,IF(A2="E",size!$B$10,IF(A2="V",size!$B$11,IF(A2="Q",size!$B$12,IF(A2="H",size!$B$13,IF(A2="M",size!$B$14,IF(A2="I",size!$B$15,IF(A2="L",size!$B$16,IF(A2="K",size!$B$17,IF(A2="R",size!$B$18,IF(A2="F",size!$B$19,IF(A2="Y",size!$B$20,IF(A2="W",size!B21,"Please enter the one-letter code of the residue in column A"))))))))))))))))))))</f>
        <v>153.19999999999999</v>
      </c>
      <c r="D2">
        <f>IF($A2="G",kd!$B$2,IF($A2="A",kd!$B$3,IF($A2="S",kd!$B$4,IF($A2="C",kd!$B$5,IF($A2="D",kd!$B$6,IF($A2="P",kd!$B$7,IF($A2="N",kd!$B$8,IF($A2="T",kd!$B$9,IF($A2="E",kd!$B$10,IF($A2="V",kd!$B$11,IF($A2="Q",kd!$B$12,IF($A2="H",kd!$B$13,IF($A2="M",kd!$B$14,IF($A2="I",kd!$B$15,IF($A2="L",kd!$B$16,IF($A2="K",kd!$B$17,IF($A2="R",kd!$B$18,IF($A2="F",kd!$B$19,IF($A2="Y",kd!$B$20,IF($A2="W",kd!C21,"Please enter the one-letter code of the residue in column A"))))))))))))))))))))</f>
        <v>-3.2</v>
      </c>
      <c r="E2">
        <f>IF($A2="G",flxb!$B$2,IF($A2="A",flxb!$B$3,IF($A2="S",flxb!$B$4,IF($A2="C",flxb!$B$5,IF($A2="D",flxb!$B$6,IF($A2="P",flxb!$B$7,IF($A2="N",flxb!$B$8,IF($A2="T",flxb!$B$9,IF($A2="E",flxb!$B$10,IF($A2="V",flxb!$B$11,IF($A2="Q",flxb!$B$12,IF($A2="H",flxb!$B$13,IF($A2="M",flxb!$B$14,IF($A2="I",flxb!$B$15,IF($A2="L",flxb!$B$16,IF($A2="K",flxb!$B$17,IF($A2="R",flxb!$B$18,IF($A2="F",flxb!$B$19,IF($A2="Y",flxb!$B$20,IF($A2="W",flxb!D21,"Please enter the one-letter code of the residue in column A"))))))))))))))))))))</f>
        <v>0.32</v>
      </c>
      <c r="F2">
        <f>IF($A2="G",pol!$B$2,IF($A2="A",pol!$B$3,IF($A2="S",pol!$B$4,IF($A2="C",pol!$B$5,IF($A2="D",pol!$B$6,IF($A2="P",pol!$B$7,IF($A2="N",pol!$B$8,IF($A2="T",pol!$B$9,IF($A2="E",pol!$B$10,IF($A2="V",pol!$B$11,IF($A2="Q",pol!$B$12,IF($A2="H",pol!$B$13,IF($A2="M",pol!$B$14,IF($A2="I",pol!$B$15,IF($A2="L",pol!$B$16,IF($A2="K",pol!$B$17,IF($A2="R",pol!$B$18,IF($A2="F",pol!$B$19,IF($A2="Y",pol!$B$20,IF($A2="W",pol!E21,"Please enter the one-letter code of the residue in column A"))))))))))))))))))))</f>
        <v>10.4</v>
      </c>
      <c r="G2">
        <f>IF($A2="G",alpha_hx!$B$2,IF($A2="A",alpha_hx!$B$3,IF($A2="S",alpha_hx!$B$4,IF($A2="C",alpha_hx!$B$5,IF($A2="D",alpha_hx!$B$6,IF($A2="P",alpha_hx!$B$7,IF($A2="N",alpha_hx!$B$8,IF($A2="T",alpha_hx!$B$9,IF($A2="E",alpha_hx!$B$10,IF($A2="V",alpha_hx!$B$11,IF($A2="Q",alpha_hx!$B$12,IF($A2="H",alpha_hx!$B$13,IF($A2="M",alpha_hx!$B$14,IF($A2="I",alpha_hx!$B$15,IF($A2="L",alpha_hx!$B$16,IF($A2="K",alpha_hx!$B$17,IF($A2="R",alpha_hx!$B$18,IF($A2="F",alpha_hx!$B$19,IF($A2="Y",alpha_hx!$B$20,IF($A2="W",alpha_hx!F21,"Please enter the one-letter code of the residue in column A"))))))))))))))))))))</f>
        <v>1.0029999999999999</v>
      </c>
      <c r="H2">
        <f>IF($A2="G",beta!$B$2,IF($A2="A",beta!$B$3,IF($A2="S",beta!$B$4,IF($A2="C",beta!$B$5,IF($A2="D",beta!$B$6,IF($A2="P",beta!$B$7,IF($A2="N",beta!$B$8,IF($A2="T",beta!$B$9,IF($A2="E",beta!$B$10,IF($A2="V",beta!$B$11,IF($A2="Q",beta!$B$12,IF($A2="H",beta!$B$13,IF($A2="M",beta!$B$14,IF($A2="I",beta!$B$15,IF($A2="L",beta!$B$16,IF($A2="K",beta!$B$17,IF($A2="R",beta!$B$18,IF($A2="F",beta!$B$19,IF($A2="Y",beta!$B$20,IF($A2="W",beta!G21,"Please enter the one-letter code of the residue in column A"))))))))))))))))))))</f>
        <v>0.86299999999999999</v>
      </c>
      <c r="I2">
        <f>IF($A2="G",bulky!$B$2,IF($A2="A",bulky!$B$3,IF($A2="S",bulky!$B$4,IF($A2="C",bulky!$B$5,IF($A2="D",bulky!$B$6,IF($A2="P",bulky!$B$7,IF($A2="N",bulky!$B$8,IF($A2="T",bulky!$B$9,IF($A2="E",bulky!$B$10,IF($A2="V",bulky!$B$11,IF($A2="Q",bulky!$B$12,IF($A2="H",bulky!$B$13,IF($A2="M",bulky!$B$14,IF($A2="I",bulky!$B$15,IF($A2="L",bulky!$B$16,IF($A2="K",bulky!$B$17,IF($A2="R",bulky!$B$18,IF($A2="F",bulky!$B$19,IF($A2="Y",bulky!$B$20,IF($A2="W",bulky!H21,"Please enter the one-letter code of the residue in column A"))))))))))))))))))))</f>
        <v>13.69</v>
      </c>
      <c r="J2">
        <f>IF($A2="G",surf!$B$2,IF($A2="A",surf!$B$3,IF($A2="S",surf!$B$4,IF($A2="C",surf!$B$5,IF($A2="D",surf!$B$6,IF($A2="P",surf!$B$7,IF($A2="N",surf!$B$8,IF($A2="T",surf!$B$9,IF($A2="E",surf!$B$10,IF($A2="V",surf!$B$11,IF($A2="Q",surf!$B$12,IF($A2="H",surf!$B$13,IF($A2="M",surf!$B$14,IF($A2="I",surf!$B$15,IF($A2="L",surf!$B$16,IF($A2="K",surf!$B$17,IF($A2="R",surf!$B$18,IF($A2="F",surf!$B$19,IF($A2="Y",surf!$B$20,IF($A2="W",surf!I21,"Please enter the one-letter code of the residue in column A"))))))))))))))))))))</f>
        <v>195</v>
      </c>
      <c r="K2">
        <f>IF($A2="G",h_do!$B$2,IF($A2="A",h_do!$B$3,IF($A2="S",h_do!$B$4,IF($A2="C",h_do!$B$5,IF($A2="D",h_do!$B$6,IF($A2="P",h_do!$B$7,IF($A2="N",h_do!$B$8,IF($A2="T",h_do!$B$9,IF($A2="E",h_do!$B$10,IF($A2="V",h_do!$B$11,IF($A2="Q",h_do!$B$12,IF($A2="H",h_do!$B$13,IF($A2="M",h_do!$B$14,IF($A2="I",h_do!$B$15,IF($A2="L",h_do!$B$16,IF($A2="K",h_do!$B$17,IF($A2="R",h_do!$B$18,IF($A2="F",h_do!$B$19,IF($A2="Y",h_do!$B$20,IF($A2="W",h_do!J21,"Please enter the one-letter code of the residue in column A"))))))))))))))))))))</f>
        <v>2</v>
      </c>
      <c r="L2">
        <f>IF($A2="G",h_ac!$B$2,IF($A2="A",h_ac!$B$3,IF($A2="S",h_ac!$B$4,IF($A2="C",h_ac!$B$5,IF($A2="D",h_ac!$B$6,IF($A2="P",h_ac!$B$7,IF($A2="N",h_ac!$B$8,IF($A2="T",h_ac!$B$9,IF($A2="E",h_ac!$B$10,IF($A2="V",h_ac!$B$11,IF($A2="Q",h_ac!$B$12,IF($A2="H",h_ac!$B$13,IF($A2="M",h_ac!$B$14,IF($A2="I",h_ac!$B$15,IF($A2="L",h_ac!$B$16,IF($A2="K",h_ac!$B$17,IF($A2="R",h_ac!$B$18,IF($A2="F",h_ac!$B$19,IF($A2="Y",h_ac!$B$20,IF($A2="W",h_ac!K21,"Please enter the one-letter code of the residue in column A"))))))))))))))))))))</f>
        <v>2</v>
      </c>
      <c r="M2">
        <f>IF($A2="G",b_turn!$B$2,IF($A2="A",b_turn!$B$3,IF($A2="S",b_turn!$B$4,IF($A2="C",b_turn!$B$5,IF($A2="D",b_turn!$B$6,IF($A2="P",b_turn!$B$7,IF($A2="N",b_turn!$B$8,IF($A2="T",b_turn!$B$9,IF($A2="E",b_turn!$B$10,IF($A2="V",b_turn!$B$11,IF($A2="Q",b_turn!$B$12,IF($A2="H",b_turn!$B$13,IF($A2="M",b_turn!$B$14,IF($A2="I",b_turn!$B$15,IF($A2="L",b_turn!$B$16,IF($A2="K",b_turn!$B$17,IF($A2="R",b_turn!$B$18,IF($A2="F",b_turn!$B$19,IF($A2="Y",b_turn!$B$20,IF($A2="W",b_turn!L21,"Please enter the one-letter code of the residue in column A"))))))))))))))))))))</f>
        <v>0.97</v>
      </c>
      <c r="N2">
        <f>IF($A2="G",coil!$B$2,IF($A2="A",coil!$B$3,IF($A2="S",coil!$B$4,IF($A2="C",coil!$B$5,IF($A2="D",coil!$B$6,IF($A2="P",coil!$B$7,IF($A2="N",coil!$B$8,IF($A2="T",coil!$B$9,IF($A2="E",coil!$B$10,IF($A2="V",coil!$B$11,IF($A2="Q",coil!$B$12,IF($A2="H",coil!$B$13,IF($A2="M",coil!$B$14,IF($A2="I",coil!$B$15,IF($A2="L",coil!$B$16,IF($A2="K",coil!$B$17,IF($A2="R",coil!$B$18,IF($A2="F",coil!$B$19,IF($A2="Y",coil!$B$20,IF($A2="W",coil!M21,"Please enter the one-letter code of the residue in column A"))))))))))))))))))))</f>
        <v>1.0680000000000001</v>
      </c>
    </row>
    <row r="3" spans="1:14" x14ac:dyDescent="0.2">
      <c r="A3" t="s">
        <v>0</v>
      </c>
      <c r="B3">
        <v>6.3040000000000003</v>
      </c>
      <c r="C3">
        <f>IF(A3="G",size!$B$2,IF(A3="A",size!$B$3,IF(A3="S",size!$B$4,IF(A3="C",size!$B$5,IF(A3="D",size!$B$6,IF(A3="P",size!$B$7,IF(A3="N",size!$B$8,IF(A3="T",size!$B$9,IF(A3="E",size!$B$10,IF(A3="V",size!$B$11,IF(A3="Q",size!$B$12,IF(A3="H",size!$B$13,IF(A3="M",size!$B$14,IF(A3="I",size!$B$15,IF(A3="L",size!$B$16,IF(A3="K",size!$B$17,IF(A3="R",size!$B$18,IF(A3="F",size!$B$19,IF(A3="Y",size!$B$20,IF(A3="W",size!B22,"Please enter the one-letter code of the residue in column A"))))))))))))))))))))</f>
        <v>143.80000000000001</v>
      </c>
      <c r="D3">
        <f>IF($A3="G",kd!$B$2,IF($A3="A",kd!$B$3,IF($A3="S",kd!$B$4,IF($A3="C",kd!$B$5,IF($A3="D",kd!$B$6,IF($A3="P",kd!$B$7,IF($A3="N",kd!$B$8,IF($A3="T",kd!$B$9,IF($A3="E",kd!$B$10,IF($A3="V",kd!$B$11,IF($A3="Q",kd!$B$12,IF($A3="H",kd!$B$13,IF($A3="M",kd!$B$14,IF($A3="I",kd!$B$15,IF($A3="L",kd!$B$16,IF($A3="K",kd!$B$17,IF($A3="R",kd!$B$18,IF($A3="F",kd!$B$19,IF($A3="Y",kd!$B$20,IF($A3="W",kd!C22,"Please enter the one-letter code of the residue in column A"))))))))))))))))))))</f>
        <v>-3.5</v>
      </c>
      <c r="E3">
        <f>IF($A3="G",flxb!$B$2,IF($A3="A",flxb!$B$3,IF($A3="S",flxb!$B$4,IF($A3="C",flxb!$B$5,IF($A3="D",flxb!$B$6,IF($A3="P",flxb!$B$7,IF($A3="N",flxb!$B$8,IF($A3="T",flxb!$B$9,IF($A3="E",flxb!$B$10,IF($A3="V",flxb!$B$11,IF($A3="Q",flxb!$B$12,IF($A3="H",flxb!$B$13,IF($A3="M",flxb!$B$14,IF($A3="I",flxb!$B$15,IF($A3="L",flxb!$B$16,IF($A3="K",flxb!$B$17,IF($A3="R",flxb!$B$18,IF($A3="F",flxb!$B$19,IF($A3="Y",flxb!$B$20,IF($A3="W",flxb!D22,"Please enter the one-letter code of the residue in column A"))))))))))))))))))))</f>
        <v>0.49</v>
      </c>
      <c r="F3">
        <f>IF($A3="G",pol!$B$2,IF($A3="A",pol!$B$3,IF($A3="S",pol!$B$4,IF($A3="C",pol!$B$5,IF($A3="D",pol!$B$6,IF($A3="P",pol!$B$7,IF($A3="N",pol!$B$8,IF($A3="T",pol!$B$9,IF($A3="E",pol!$B$10,IF($A3="V",pol!$B$11,IF($A3="Q",pol!$B$12,IF($A3="H",pol!$B$13,IF($A3="M",pol!$B$14,IF($A3="I",pol!$B$15,IF($A3="L",pol!$B$16,IF($A3="K",pol!$B$17,IF($A3="R",pol!$B$18,IF($A3="F",pol!$B$19,IF($A3="Y",pol!$B$20,IF($A3="W",pol!E22,"Please enter the one-letter code of the residue in column A"))))))))))))))))))))</f>
        <v>10.5</v>
      </c>
      <c r="G3">
        <f>IF($A3="G",alpha_hx!$B$2,IF($A3="A",alpha_hx!$B$3,IF($A3="S",alpha_hx!$B$4,IF($A3="C",alpha_hx!$B$5,IF($A3="D",alpha_hx!$B$6,IF($A3="P",alpha_hx!$B$7,IF($A3="N",alpha_hx!$B$8,IF($A3="T",alpha_hx!$B$9,IF($A3="E",alpha_hx!$B$10,IF($A3="V",alpha_hx!$B$11,IF($A3="Q",alpha_hx!$B$12,IF($A3="H",alpha_hx!$B$13,IF($A3="M",alpha_hx!$B$14,IF($A3="I",alpha_hx!$B$15,IF($A3="L",alpha_hx!$B$16,IF($A3="K",alpha_hx!$B$17,IF($A3="R",alpha_hx!$B$18,IF($A3="F",alpha_hx!$B$19,IF($A3="Y",alpha_hx!$B$20,IF($A3="W",alpha_hx!F22,"Please enter the one-letter code of the residue in column A"))))))))))))))))))))</f>
        <v>1.1639999999999999</v>
      </c>
      <c r="H3">
        <f>IF($A3="G",beta!$B$2,IF($A3="A",beta!$B$3,IF($A3="S",beta!$B$4,IF($A3="C",beta!$B$5,IF($A3="D",beta!$B$6,IF($A3="P",beta!$B$7,IF($A3="N",beta!$B$8,IF($A3="T",beta!$B$9,IF($A3="E",beta!$B$10,IF($A3="V",beta!$B$11,IF($A3="Q",beta!$B$12,IF($A3="H",beta!$B$13,IF($A3="M",beta!$B$14,IF($A3="I",beta!$B$15,IF($A3="L",beta!$B$16,IF($A3="K",beta!$B$17,IF($A3="R",beta!$B$18,IF($A3="F",beta!$B$19,IF($A3="Y",beta!$B$20,IF($A3="W",beta!G22,"Please enter the one-letter code of the residue in column A"))))))))))))))))))))</f>
        <v>0.84</v>
      </c>
      <c r="I3">
        <f>IF($A3="G",bulky!$B$2,IF($A3="A",bulky!$B$3,IF($A3="S",bulky!$B$4,IF($A3="C",bulky!$B$5,IF($A3="D",bulky!$B$6,IF($A3="P",bulky!$B$7,IF($A3="N",bulky!$B$8,IF($A3="T",bulky!$B$9,IF($A3="E",bulky!$B$10,IF($A3="V",bulky!$B$11,IF($A3="Q",bulky!$B$12,IF($A3="H",bulky!$B$13,IF($A3="M",bulky!$B$14,IF($A3="I",bulky!$B$15,IF($A3="L",bulky!$B$16,IF($A3="K",bulky!$B$17,IF($A3="R",bulky!$B$18,IF($A3="F",bulky!$B$19,IF($A3="Y",bulky!$B$20,IF($A3="W",bulky!H22,"Please enter the one-letter code of the residue in column A"))))))))))))))))))))</f>
        <v>14.45</v>
      </c>
      <c r="J3">
        <f>IF($A3="G",surf!$B$2,IF($A3="A",surf!$B$3,IF($A3="S",surf!$B$4,IF($A3="C",surf!$B$5,IF($A3="D",surf!$B$6,IF($A3="P",surf!$B$7,IF($A3="N",surf!$B$8,IF($A3="T",surf!$B$9,IF($A3="E",surf!$B$10,IF($A3="V",surf!$B$11,IF($A3="Q",surf!$B$12,IF($A3="H",surf!$B$13,IF($A3="M",surf!$B$14,IF($A3="I",surf!$B$15,IF($A3="L",surf!$B$16,IF($A3="K",surf!$B$17,IF($A3="R",surf!$B$18,IF($A3="F",surf!$B$19,IF($A3="Y",surf!$B$20,IF($A3="W",surf!I22,"Please enter the one-letter code of the residue in column A"))))))))))))))))))))</f>
        <v>180</v>
      </c>
      <c r="K3">
        <f>IF($A3="G",h_do!$B$2,IF($A3="A",h_do!$B$3,IF($A3="S",h_do!$B$4,IF($A3="C",h_do!$B$5,IF($A3="D",h_do!$B$6,IF($A3="P",h_do!$B$7,IF($A3="N",h_do!$B$8,IF($A3="T",h_do!$B$9,IF($A3="E",h_do!$B$10,IF($A3="V",h_do!$B$11,IF($A3="Q",h_do!$B$12,IF($A3="H",h_do!$B$13,IF($A3="M",h_do!$B$14,IF($A3="I",h_do!$B$15,IF($A3="L",h_do!$B$16,IF($A3="K",h_do!$B$17,IF($A3="R",h_do!$B$18,IF($A3="F",h_do!$B$19,IF($A3="Y",h_do!$B$20,IF($A3="W",h_do!J22,"Please enter the one-letter code of the residue in column A"))))))))))))))))))))</f>
        <v>2</v>
      </c>
      <c r="L3">
        <f>IF($A3="G",h_ac!$B$2,IF($A3="A",h_ac!$B$3,IF($A3="S",h_ac!$B$4,IF($A3="C",h_ac!$B$5,IF($A3="D",h_ac!$B$6,IF($A3="P",h_ac!$B$7,IF($A3="N",h_ac!$B$8,IF($A3="T",h_ac!$B$9,IF($A3="E",h_ac!$B$10,IF($A3="V",h_ac!$B$11,IF($A3="Q",h_ac!$B$12,IF($A3="H",h_ac!$B$13,IF($A3="M",h_ac!$B$14,IF($A3="I",h_ac!$B$15,IF($A3="L",h_ac!$B$16,IF($A3="K",h_ac!$B$17,IF($A3="R",h_ac!$B$18,IF($A3="F",h_ac!$B$19,IF($A3="Y",h_ac!$B$20,IF($A3="W",h_ac!K22,"Please enter the one-letter code of the residue in column A"))))))))))))))))))))</f>
        <v>2</v>
      </c>
      <c r="M3">
        <f>IF($A3="G",b_turn!$B$2,IF($A3="A",b_turn!$B$3,IF($A3="S",b_turn!$B$4,IF($A3="C",b_turn!$B$5,IF($A3="D",b_turn!$B$6,IF($A3="P",b_turn!$B$7,IF($A3="N",b_turn!$B$8,IF($A3="T",b_turn!$B$9,IF($A3="E",b_turn!$B$10,IF($A3="V",b_turn!$B$11,IF($A3="Q",b_turn!$B$12,IF($A3="H",b_turn!$B$13,IF($A3="M",b_turn!$B$14,IF($A3="I",b_turn!$B$15,IF($A3="L",b_turn!$B$16,IF($A3="K",b_turn!$B$17,IF($A3="R",b_turn!$B$18,IF($A3="F",b_turn!$B$19,IF($A3="Y",b_turn!$B$20,IF($A3="W",b_turn!L22,"Please enter the one-letter code of the residue in column A"))))))))))))))))))))</f>
        <v>0.997</v>
      </c>
      <c r="N3">
        <f>IF($A3="G",coil!$B$2,IF($A3="A",coil!$B$3,IF($A3="S",coil!$B$4,IF($A3="C",coil!$B$5,IF($A3="D",coil!$B$6,IF($A3="P",coil!$B$7,IF($A3="N",coil!$B$8,IF($A3="T",coil!$B$9,IF($A3="E",coil!$B$10,IF($A3="V",coil!$B$11,IF($A3="Q",coil!$B$12,IF($A3="H",coil!$B$13,IF($A3="M",coil!$B$14,IF($A3="I",coil!$B$15,IF($A3="L",coil!$B$16,IF($A3="K",coil!$B$17,IF($A3="R",coil!$B$18,IF($A3="F",coil!$B$19,IF($A3="Y",coil!$B$20,IF($A3="W",coil!M22,"Please enter the one-letter code of the residue in column A"))))))))))))))))))))</f>
        <v>0.94699999999999995</v>
      </c>
    </row>
    <row r="4" spans="1:14" x14ac:dyDescent="0.2">
      <c r="A4" t="s">
        <v>1</v>
      </c>
      <c r="B4">
        <v>6.2128749999999995</v>
      </c>
      <c r="C4">
        <f>IF(A4="G",size!$B$2,IF(A4="A",size!$B$3,IF(A4="S",size!$B$4,IF(A4="C",size!$B$5,IF(A4="D",size!$B$6,IF(A4="P",size!$B$7,IF(A4="N",size!$B$8,IF(A4="T",size!$B$9,IF(A4="E",size!$B$10,IF(A4="V",size!$B$11,IF(A4="Q",size!$B$12,IF(A4="H",size!$B$13,IF(A4="M",size!$B$14,IF(A4="I",size!$B$15,IF(A4="L",size!$B$16,IF(A4="K",size!$B$17,IF(A4="R",size!$B$18,IF(A4="F",size!$B$19,IF(A4="Y",size!$B$20,IF(A4="W",size!B23,"Please enter the one-letter code of the residue in column A"))))))))))))))))))))</f>
        <v>88.6</v>
      </c>
      <c r="D4">
        <f>IF($A4="G",kd!$B$2,IF($A4="A",kd!$B$3,IF($A4="S",kd!$B$4,IF($A4="C",kd!$B$5,IF($A4="D",kd!$B$6,IF($A4="P",kd!$B$7,IF($A4="N",kd!$B$8,IF($A4="T",kd!$B$9,IF($A4="E",kd!$B$10,IF($A4="V",kd!$B$11,IF($A4="Q",kd!$B$12,IF($A4="H",kd!$B$13,IF($A4="M",kd!$B$14,IF($A4="I",kd!$B$15,IF($A4="L",kd!$B$16,IF($A4="K",kd!$B$17,IF($A4="R",kd!$B$18,IF($A4="F",kd!$B$19,IF($A4="Y",kd!$B$20,IF($A4="W",kd!C23,"Please enter the one-letter code of the residue in column A"))))))))))))))))))))</f>
        <v>1.8</v>
      </c>
      <c r="E4">
        <f>IF($A4="G",flxb!$B$2,IF($A4="A",flxb!$B$3,IF($A4="S",flxb!$B$4,IF($A4="C",flxb!$B$5,IF($A4="D",flxb!$B$6,IF($A4="P",flxb!$B$7,IF($A4="N",flxb!$B$8,IF($A4="T",flxb!$B$9,IF($A4="E",flxb!$B$10,IF($A4="V",flxb!$B$11,IF($A4="Q",flxb!$B$12,IF($A4="H",flxb!$B$13,IF($A4="M",flxb!$B$14,IF($A4="I",flxb!$B$15,IF($A4="L",flxb!$B$16,IF($A4="K",flxb!$B$17,IF($A4="R",flxb!$B$18,IF($A4="F",flxb!$B$19,IF($A4="Y",flxb!$B$20,IF($A4="W",flxb!D23,"Please enter the one-letter code of the residue in column A"))))))))))))))))))))</f>
        <v>0.36</v>
      </c>
      <c r="F4">
        <f>IF($A4="G",pol!$B$2,IF($A4="A",pol!$B$3,IF($A4="S",pol!$B$4,IF($A4="C",pol!$B$5,IF($A4="D",pol!$B$6,IF($A4="P",pol!$B$7,IF($A4="N",pol!$B$8,IF($A4="T",pol!$B$9,IF($A4="E",pol!$B$10,IF($A4="V",pol!$B$11,IF($A4="Q",pol!$B$12,IF($A4="H",pol!$B$13,IF($A4="M",pol!$B$14,IF($A4="I",pol!$B$15,IF($A4="L",pol!$B$16,IF($A4="K",pol!$B$17,IF($A4="R",pol!$B$18,IF($A4="F",pol!$B$19,IF($A4="Y",pol!$B$20,IF($A4="W",pol!E23,"Please enter the one-letter code of the residue in column A"))))))))))))))))))))</f>
        <v>8.1</v>
      </c>
      <c r="G4">
        <f>IF($A4="G",alpha_hx!$B$2,IF($A4="A",alpha_hx!$B$3,IF($A4="S",alpha_hx!$B$4,IF($A4="C",alpha_hx!$B$5,IF($A4="D",alpha_hx!$B$6,IF($A4="P",alpha_hx!$B$7,IF($A4="N",alpha_hx!$B$8,IF($A4="T",alpha_hx!$B$9,IF($A4="E",alpha_hx!$B$10,IF($A4="V",alpha_hx!$B$11,IF($A4="Q",alpha_hx!$B$12,IF($A4="H",alpha_hx!$B$13,IF($A4="M",alpha_hx!$B$14,IF($A4="I",alpha_hx!$B$15,IF($A4="L",alpha_hx!$B$16,IF($A4="K",alpha_hx!$B$17,IF($A4="R",alpha_hx!$B$18,IF($A4="F",alpha_hx!$B$19,IF($A4="Y",alpha_hx!$B$20,IF($A4="W",alpha_hx!F23,"Please enter the one-letter code of the residue in column A"))))))))))))))))))))</f>
        <v>1.4890000000000001</v>
      </c>
      <c r="H4">
        <f>IF($A4="G",beta!$B$2,IF($A4="A",beta!$B$3,IF($A4="S",beta!$B$4,IF($A4="C",beta!$B$5,IF($A4="D",beta!$B$6,IF($A4="P",beta!$B$7,IF($A4="N",beta!$B$8,IF($A4="T",beta!$B$9,IF($A4="E",beta!$B$10,IF($A4="V",beta!$B$11,IF($A4="Q",beta!$B$12,IF($A4="H",beta!$B$13,IF($A4="M",beta!$B$14,IF($A4="I",beta!$B$15,IF($A4="L",beta!$B$16,IF($A4="K",beta!$B$17,IF($A4="R",beta!$B$18,IF($A4="F",beta!$B$19,IF($A4="Y",beta!$B$20,IF($A4="W",beta!G23,"Please enter the one-letter code of the residue in column A"))))))))))))))))))))</f>
        <v>0.70899999999999996</v>
      </c>
      <c r="I4">
        <f>IF($A4="G",bulky!$B$2,IF($A4="A",bulky!$B$3,IF($A4="S",bulky!$B$4,IF($A4="C",bulky!$B$5,IF($A4="D",bulky!$B$6,IF($A4="P",bulky!$B$7,IF($A4="N",bulky!$B$8,IF($A4="T",bulky!$B$9,IF($A4="E",bulky!$B$10,IF($A4="V",bulky!$B$11,IF($A4="Q",bulky!$B$12,IF($A4="H",bulky!$B$13,IF($A4="M",bulky!$B$14,IF($A4="I",bulky!$B$15,IF($A4="L",bulky!$B$16,IF($A4="K",bulky!$B$17,IF($A4="R",bulky!$B$18,IF($A4="F",bulky!$B$19,IF($A4="Y",bulky!$B$20,IF($A4="W",bulky!H23,"Please enter the one-letter code of the residue in column A"))))))))))))))))))))</f>
        <v>11.5</v>
      </c>
      <c r="J4">
        <f>IF($A4="G",surf!$B$2,IF($A4="A",surf!$B$3,IF($A4="S",surf!$B$4,IF($A4="C",surf!$B$5,IF($A4="D",surf!$B$6,IF($A4="P",surf!$B$7,IF($A4="N",surf!$B$8,IF($A4="T",surf!$B$9,IF($A4="E",surf!$B$10,IF($A4="V",surf!$B$11,IF($A4="Q",surf!$B$12,IF($A4="H",surf!$B$13,IF($A4="M",surf!$B$14,IF($A4="I",surf!$B$15,IF($A4="L",surf!$B$16,IF($A4="K",surf!$B$17,IF($A4="R",surf!$B$18,IF($A4="F",surf!$B$19,IF($A4="Y",surf!$B$20,IF($A4="W",surf!I23,"Please enter the one-letter code of the residue in column A"))))))))))))))))))))</f>
        <v>115</v>
      </c>
      <c r="K4">
        <f>IF($A4="G",h_do!$B$2,IF($A4="A",h_do!$B$3,IF($A4="S",h_do!$B$4,IF($A4="C",h_do!$B$5,IF($A4="D",h_do!$B$6,IF($A4="P",h_do!$B$7,IF($A4="N",h_do!$B$8,IF($A4="T",h_do!$B$9,IF($A4="E",h_do!$B$10,IF($A4="V",h_do!$B$11,IF($A4="Q",h_do!$B$12,IF($A4="H",h_do!$B$13,IF($A4="M",h_do!$B$14,IF($A4="I",h_do!$B$15,IF($A4="L",h_do!$B$16,IF($A4="K",h_do!$B$17,IF($A4="R",h_do!$B$18,IF($A4="F",h_do!$B$19,IF($A4="Y",h_do!$B$20,IF($A4="W",h_do!J23,"Please enter the one-letter code of the residue in column A"))))))))))))))))))))</f>
        <v>0</v>
      </c>
      <c r="L4">
        <f>IF($A4="G",h_ac!$B$2,IF($A4="A",h_ac!$B$3,IF($A4="S",h_ac!$B$4,IF($A4="C",h_ac!$B$5,IF($A4="D",h_ac!$B$6,IF($A4="P",h_ac!$B$7,IF($A4="N",h_ac!$B$8,IF($A4="T",h_ac!$B$9,IF($A4="E",h_ac!$B$10,IF($A4="V",h_ac!$B$11,IF($A4="Q",h_ac!$B$12,IF($A4="H",h_ac!$B$13,IF($A4="M",h_ac!$B$14,IF($A4="I",h_ac!$B$15,IF($A4="L",h_ac!$B$16,IF($A4="K",h_ac!$B$17,IF($A4="R",h_ac!$B$18,IF($A4="F",h_ac!$B$19,IF($A4="Y",h_ac!$B$20,IF($A4="W",h_ac!K23,"Please enter the one-letter code of the residue in column A"))))))))))))))))))))</f>
        <v>0</v>
      </c>
      <c r="M4">
        <f>IF($A4="G",b_turn!$B$2,IF($A4="A",b_turn!$B$3,IF($A4="S",b_turn!$B$4,IF($A4="C",b_turn!$B$5,IF($A4="D",b_turn!$B$6,IF($A4="P",b_turn!$B$7,IF($A4="N",b_turn!$B$8,IF($A4="T",b_turn!$B$9,IF($A4="E",b_turn!$B$10,IF($A4="V",b_turn!$B$11,IF($A4="Q",b_turn!$B$12,IF($A4="H",b_turn!$B$13,IF($A4="M",b_turn!$B$14,IF($A4="I",b_turn!$B$15,IF($A4="L",b_turn!$B$16,IF($A4="K",b_turn!$B$17,IF($A4="R",b_turn!$B$18,IF($A4="F",b_turn!$B$19,IF($A4="Y",b_turn!$B$20,IF($A4="W",b_turn!L23,"Please enter the one-letter code of the residue in column A"))))))))))))))))))))</f>
        <v>0.78800000000000003</v>
      </c>
      <c r="N4">
        <f>IF($A4="G",coil!$B$2,IF($A4="A",coil!$B$3,IF($A4="S",coil!$B$4,IF($A4="C",coil!$B$5,IF($A4="D",coil!$B$6,IF($A4="P",coil!$B$7,IF($A4="N",coil!$B$8,IF($A4="T",coil!$B$9,IF($A4="E",coil!$B$10,IF($A4="V",coil!$B$11,IF($A4="Q",coil!$B$12,IF($A4="H",coil!$B$13,IF($A4="M",coil!$B$14,IF($A4="I",coil!$B$15,IF($A4="L",coil!$B$16,IF($A4="K",coil!$B$17,IF($A4="R",coil!$B$18,IF($A4="F",coil!$B$19,IF($A4="Y",coil!$B$20,IF($A4="W",coil!M23,"Please enter the one-letter code of the residue in column A"))))))))))))))))))))</f>
        <v>0.82399999999999995</v>
      </c>
    </row>
    <row r="5" spans="1:14" x14ac:dyDescent="0.2">
      <c r="A5" t="s">
        <v>2</v>
      </c>
      <c r="B5">
        <v>6.2875714285714279</v>
      </c>
      <c r="C5">
        <f>IF(A5="G",size!$B$2,IF(A5="A",size!$B$3,IF(A5="S",size!$B$4,IF(A5="C",size!$B$5,IF(A5="D",size!$B$6,IF(A5="P",size!$B$7,IF(A5="N",size!$B$8,IF(A5="T",size!$B$9,IF(A5="E",size!$B$10,IF(A5="V",size!$B$11,IF(A5="Q",size!$B$12,IF(A5="H",size!$B$13,IF(A5="M",size!$B$14,IF(A5="I",size!$B$15,IF(A5="L",size!$B$16,IF(A5="K",size!$B$17,IF(A5="R",size!$B$18,IF(A5="F",size!$B$19,IF(A5="Y",size!$B$20,IF(A5="W",size!B24,"Please enter the one-letter code of the residue in column A"))))))))))))))))))))</f>
        <v>140</v>
      </c>
      <c r="D5">
        <f>IF($A5="G",kd!$B$2,IF($A5="A",kd!$B$3,IF($A5="S",kd!$B$4,IF($A5="C",kd!$B$5,IF($A5="D",kd!$B$6,IF($A5="P",kd!$B$7,IF($A5="N",kd!$B$8,IF($A5="T",kd!$B$9,IF($A5="E",kd!$B$10,IF($A5="V",kd!$B$11,IF($A5="Q",kd!$B$12,IF($A5="H",kd!$B$13,IF($A5="M",kd!$B$14,IF($A5="I",kd!$B$15,IF($A5="L",kd!$B$16,IF($A5="K",kd!$B$17,IF($A5="R",kd!$B$18,IF($A5="F",kd!$B$19,IF($A5="Y",kd!$B$20,IF($A5="W",kd!C24,"Please enter the one-letter code of the residue in column A"))))))))))))))))))))</f>
        <v>4.2</v>
      </c>
      <c r="E5">
        <f>IF($A5="G",flxb!$B$2,IF($A5="A",flxb!$B$3,IF($A5="S",flxb!$B$4,IF($A5="C",flxb!$B$5,IF($A5="D",flxb!$B$6,IF($A5="P",flxb!$B$7,IF($A5="N",flxb!$B$8,IF($A5="T",flxb!$B$9,IF($A5="E",flxb!$B$10,IF($A5="V",flxb!$B$11,IF($A5="Q",flxb!$B$12,IF($A5="H",flxb!$B$13,IF($A5="M",flxb!$B$14,IF($A5="I",flxb!$B$15,IF($A5="L",flxb!$B$16,IF($A5="K",flxb!$B$17,IF($A5="R",flxb!$B$18,IF($A5="F",flxb!$B$19,IF($A5="Y",flxb!$B$20,IF($A5="W",flxb!D24,"Please enter the one-letter code of the residue in column A"))))))))))))))))))))</f>
        <v>0.39</v>
      </c>
      <c r="F5">
        <f>IF($A5="G",pol!$B$2,IF($A5="A",pol!$B$3,IF($A5="S",pol!$B$4,IF($A5="C",pol!$B$5,IF($A5="D",pol!$B$6,IF($A5="P",pol!$B$7,IF($A5="N",pol!$B$8,IF($A5="T",pol!$B$9,IF($A5="E",pol!$B$10,IF($A5="V",pol!$B$11,IF($A5="Q",pol!$B$12,IF($A5="H",pol!$B$13,IF($A5="M",pol!$B$14,IF($A5="I",pol!$B$15,IF($A5="L",pol!$B$16,IF($A5="K",pol!$B$17,IF($A5="R",pol!$B$18,IF($A5="F",pol!$B$19,IF($A5="Y",pol!$B$20,IF($A5="W",pol!E24,"Please enter the one-letter code of the residue in column A"))))))))))))))))))))</f>
        <v>5.9</v>
      </c>
      <c r="G5">
        <f>IF($A5="G",alpha_hx!$B$2,IF($A5="A",alpha_hx!$B$3,IF($A5="S",alpha_hx!$B$4,IF($A5="C",alpha_hx!$B$5,IF($A5="D",alpha_hx!$B$6,IF($A5="P",alpha_hx!$B$7,IF($A5="N",alpha_hx!$B$8,IF($A5="T",alpha_hx!$B$9,IF($A5="E",alpha_hx!$B$10,IF($A5="V",alpha_hx!$B$11,IF($A5="Q",alpha_hx!$B$12,IF($A5="H",alpha_hx!$B$13,IF($A5="M",alpha_hx!$B$14,IF($A5="I",alpha_hx!$B$15,IF($A5="L",alpha_hx!$B$16,IF($A5="K",alpha_hx!$B$17,IF($A5="R",alpha_hx!$B$18,IF($A5="F",alpha_hx!$B$19,IF($A5="Y",alpha_hx!$B$20,IF($A5="W",alpha_hx!F24,"Please enter the one-letter code of the residue in column A"))))))))))))))))))))</f>
        <v>0.99</v>
      </c>
      <c r="H5">
        <f>IF($A5="G",beta!$B$2,IF($A5="A",beta!$B$3,IF($A5="S",beta!$B$4,IF($A5="C",beta!$B$5,IF($A5="D",beta!$B$6,IF($A5="P",beta!$B$7,IF($A5="N",beta!$B$8,IF($A5="T",beta!$B$9,IF($A5="E",beta!$B$10,IF($A5="V",beta!$B$11,IF($A5="Q",beta!$B$12,IF($A5="H",beta!$B$13,IF($A5="M",beta!$B$14,IF($A5="I",beta!$B$15,IF($A5="L",beta!$B$16,IF($A5="K",beta!$B$17,IF($A5="R",beta!$B$18,IF($A5="F",beta!$B$19,IF($A5="Y",beta!$B$20,IF($A5="W",beta!G24,"Please enter the one-letter code of the residue in column A"))))))))))))))))))))</f>
        <v>1.9650000000000001</v>
      </c>
      <c r="I5">
        <f>IF($A5="G",bulky!$B$2,IF($A5="A",bulky!$B$3,IF($A5="S",bulky!$B$4,IF($A5="C",bulky!$B$5,IF($A5="D",bulky!$B$6,IF($A5="P",bulky!$B$7,IF($A5="N",bulky!$B$8,IF($A5="T",bulky!$B$9,IF($A5="E",bulky!$B$10,IF($A5="V",bulky!$B$11,IF($A5="Q",bulky!$B$12,IF($A5="H",bulky!$B$13,IF($A5="M",bulky!$B$14,IF($A5="I",bulky!$B$15,IF($A5="L",bulky!$B$16,IF($A5="K",bulky!$B$17,IF($A5="R",bulky!$B$18,IF($A5="F",bulky!$B$19,IF($A5="Y",bulky!$B$20,IF($A5="W",bulky!H24,"Please enter the one-letter code of the residue in column A"))))))))))))))))))))</f>
        <v>21.57</v>
      </c>
      <c r="J5">
        <f>IF($A5="G",surf!$B$2,IF($A5="A",surf!$B$3,IF($A5="S",surf!$B$4,IF($A5="C",surf!$B$5,IF($A5="D",surf!$B$6,IF($A5="P",surf!$B$7,IF($A5="N",surf!$B$8,IF($A5="T",surf!$B$9,IF($A5="E",surf!$B$10,IF($A5="V",surf!$B$11,IF($A5="Q",surf!$B$12,IF($A5="H",surf!$B$13,IF($A5="M",surf!$B$14,IF($A5="I",surf!$B$15,IF($A5="L",surf!$B$16,IF($A5="K",surf!$B$17,IF($A5="R",surf!$B$18,IF($A5="F",surf!$B$19,IF($A5="Y",surf!$B$20,IF($A5="W",surf!I24,"Please enter the one-letter code of the residue in column A"))))))))))))))))))))</f>
        <v>155</v>
      </c>
      <c r="K5">
        <f>IF($A5="G",h_do!$B$2,IF($A5="A",h_do!$B$3,IF($A5="S",h_do!$B$4,IF($A5="C",h_do!$B$5,IF($A5="D",h_do!$B$6,IF($A5="P",h_do!$B$7,IF($A5="N",h_do!$B$8,IF($A5="T",h_do!$B$9,IF($A5="E",h_do!$B$10,IF($A5="V",h_do!$B$11,IF($A5="Q",h_do!$B$12,IF($A5="H",h_do!$B$13,IF($A5="M",h_do!$B$14,IF($A5="I",h_do!$B$15,IF($A5="L",h_do!$B$16,IF($A5="K",h_do!$B$17,IF($A5="R",h_do!$B$18,IF($A5="F",h_do!$B$19,IF($A5="Y",h_do!$B$20,IF($A5="W",h_do!J24,"Please enter the one-letter code of the residue in column A"))))))))))))))))))))</f>
        <v>0</v>
      </c>
      <c r="L5">
        <f>IF($A5="G",h_ac!$B$2,IF($A5="A",h_ac!$B$3,IF($A5="S",h_ac!$B$4,IF($A5="C",h_ac!$B$5,IF($A5="D",h_ac!$B$6,IF($A5="P",h_ac!$B$7,IF($A5="N",h_ac!$B$8,IF($A5="T",h_ac!$B$9,IF($A5="E",h_ac!$B$10,IF($A5="V",h_ac!$B$11,IF($A5="Q",h_ac!$B$12,IF($A5="H",h_ac!$B$13,IF($A5="M",h_ac!$B$14,IF($A5="I",h_ac!$B$15,IF($A5="L",h_ac!$B$16,IF($A5="K",h_ac!$B$17,IF($A5="R",h_ac!$B$18,IF($A5="F",h_ac!$B$19,IF($A5="Y",h_ac!$B$20,IF($A5="W",h_ac!K24,"Please enter the one-letter code of the residue in column A"))))))))))))))))))))</f>
        <v>0</v>
      </c>
      <c r="M5">
        <f>IF($A5="G",b_turn!$B$2,IF($A5="A",b_turn!$B$3,IF($A5="S",b_turn!$B$4,IF($A5="C",b_turn!$B$5,IF($A5="D",b_turn!$B$6,IF($A5="P",b_turn!$B$7,IF($A5="N",b_turn!$B$8,IF($A5="T",b_turn!$B$9,IF($A5="E",b_turn!$B$10,IF($A5="V",b_turn!$B$11,IF($A5="Q",b_turn!$B$12,IF($A5="H",b_turn!$B$13,IF($A5="M",b_turn!$B$14,IF($A5="I",b_turn!$B$15,IF($A5="L",b_turn!$B$16,IF($A5="K",b_turn!$B$17,IF($A5="R",b_turn!$B$18,IF($A5="F",b_turn!$B$19,IF($A5="Y",b_turn!$B$20,IF($A5="W",b_turn!L24,"Please enter the one-letter code of the residue in column A"))))))))))))))))))))</f>
        <v>0.38700000000000001</v>
      </c>
      <c r="N5">
        <f>IF($A5="G",coil!$B$2,IF($A5="A",coil!$B$3,IF($A5="S",coil!$B$4,IF($A5="C",coil!$B$5,IF($A5="D",coil!$B$6,IF($A5="P",coil!$B$7,IF($A5="N",coil!$B$8,IF($A5="T",coil!$B$9,IF($A5="E",coil!$B$10,IF($A5="V",coil!$B$11,IF($A5="Q",coil!$B$12,IF($A5="H",coil!$B$13,IF($A5="M",coil!$B$14,IF($A5="I",coil!$B$15,IF($A5="L",coil!$B$16,IF($A5="K",coil!$B$17,IF($A5="R",coil!$B$18,IF($A5="F",coil!$B$19,IF($A5="Y",coil!$B$20,IF($A5="W",coil!M24,"Please enter the one-letter code of the residue in column A"))))))))))))))))))))</f>
        <v>0.77200000000000002</v>
      </c>
    </row>
    <row r="6" spans="1:14" x14ac:dyDescent="0.2">
      <c r="A6" t="s">
        <v>3</v>
      </c>
      <c r="B6">
        <v>6.1025714285714283</v>
      </c>
      <c r="C6">
        <f>IF(A6="G",size!$B$2,IF(A6="A",size!$B$3,IF(A6="S",size!$B$4,IF(A6="C",size!$B$5,IF(A6="D",size!$B$6,IF(A6="P",size!$B$7,IF(A6="N",size!$B$8,IF(A6="T",size!$B$9,IF(A6="E",size!$B$10,IF(A6="V",size!$B$11,IF(A6="Q",size!$B$12,IF(A6="H",size!$B$13,IF(A6="M",size!$B$14,IF(A6="I",size!$B$15,IF(A6="L",size!$B$16,IF(A6="K",size!$B$17,IF(A6="R",size!$B$18,IF(A6="F",size!$B$19,IF(A6="Y",size!$B$20,IF(A6="W",size!B25,"Please enter the one-letter code of the residue in column A"))))))))))))))))))))</f>
        <v>189.9</v>
      </c>
      <c r="D6">
        <f>IF($A6="G",kd!$B$2,IF($A6="A",kd!$B$3,IF($A6="S",kd!$B$4,IF($A6="C",kd!$B$5,IF($A6="D",kd!$B$6,IF($A6="P",kd!$B$7,IF($A6="N",kd!$B$8,IF($A6="T",kd!$B$9,IF($A6="E",kd!$B$10,IF($A6="V",kd!$B$11,IF($A6="Q",kd!$B$12,IF($A6="H",kd!$B$13,IF($A6="M",kd!$B$14,IF($A6="I",kd!$B$15,IF($A6="L",kd!$B$16,IF($A6="K",kd!$B$17,IF($A6="R",kd!$B$18,IF($A6="F",kd!$B$19,IF($A6="Y",kd!$B$20,IF($A6="W",kd!C25,"Please enter the one-letter code of the residue in column A"))))))))))))))))))))</f>
        <v>2.8</v>
      </c>
      <c r="E6">
        <f>IF($A6="G",flxb!$B$2,IF($A6="A",flxb!$B$3,IF($A6="S",flxb!$B$4,IF($A6="C",flxb!$B$5,IF($A6="D",flxb!$B$6,IF($A6="P",flxb!$B$7,IF($A6="N",flxb!$B$8,IF($A6="T",flxb!$B$9,IF($A6="E",flxb!$B$10,IF($A6="V",flxb!$B$11,IF($A6="Q",flxb!$B$12,IF($A6="H",flxb!$B$13,IF($A6="M",flxb!$B$14,IF($A6="I",flxb!$B$15,IF($A6="L",flxb!$B$16,IF($A6="K",flxb!$B$17,IF($A6="R",flxb!$B$18,IF($A6="F",flxb!$B$19,IF($A6="Y",flxb!$B$20,IF($A6="W",flxb!D25,"Please enter the one-letter code of the residue in column A"))))))))))))))))))))</f>
        <v>0.31</v>
      </c>
      <c r="F6">
        <f>IF($A6="G",pol!$B$2,IF($A6="A",pol!$B$3,IF($A6="S",pol!$B$4,IF($A6="C",pol!$B$5,IF($A6="D",pol!$B$6,IF($A6="P",pol!$B$7,IF($A6="N",pol!$B$8,IF($A6="T",pol!$B$9,IF($A6="E",pol!$B$10,IF($A6="V",pol!$B$11,IF($A6="Q",pol!$B$12,IF($A6="H",pol!$B$13,IF($A6="M",pol!$B$14,IF($A6="I",pol!$B$15,IF($A6="L",pol!$B$16,IF($A6="K",pol!$B$17,IF($A6="R",pol!$B$18,IF($A6="F",pol!$B$19,IF($A6="Y",pol!$B$20,IF($A6="W",pol!E25,"Please enter the one-letter code of the residue in column A"))))))))))))))))))))</f>
        <v>5.2</v>
      </c>
      <c r="G6">
        <f>IF($A6="G",alpha_hx!$B$2,IF($A6="A",alpha_hx!$B$3,IF($A6="S",alpha_hx!$B$4,IF($A6="C",alpha_hx!$B$5,IF($A6="D",alpha_hx!$B$6,IF($A6="P",alpha_hx!$B$7,IF($A6="N",alpha_hx!$B$8,IF($A6="T",alpha_hx!$B$9,IF($A6="E",alpha_hx!$B$10,IF($A6="V",alpha_hx!$B$11,IF($A6="Q",alpha_hx!$B$12,IF($A6="H",alpha_hx!$B$13,IF($A6="M",alpha_hx!$B$14,IF($A6="I",alpha_hx!$B$15,IF($A6="L",alpha_hx!$B$16,IF($A6="K",alpha_hx!$B$17,IF($A6="R",alpha_hx!$B$18,IF($A6="F",alpha_hx!$B$19,IF($A6="Y",alpha_hx!$B$20,IF($A6="W",alpha_hx!F25,"Please enter the one-letter code of the residue in column A"))))))))))))))))))))</f>
        <v>1.1950000000000001</v>
      </c>
      <c r="H6">
        <f>IF($A6="G",beta!$B$2,IF($A6="A",beta!$B$3,IF($A6="S",beta!$B$4,IF($A6="C",beta!$B$5,IF($A6="D",beta!$B$6,IF($A6="P",beta!$B$7,IF($A6="N",beta!$B$8,IF($A6="T",beta!$B$9,IF($A6="E",beta!$B$10,IF($A6="V",beta!$B$11,IF($A6="Q",beta!$B$12,IF($A6="H",beta!$B$13,IF($A6="M",beta!$B$14,IF($A6="I",beta!$B$15,IF($A6="L",beta!$B$16,IF($A6="K",beta!$B$17,IF($A6="R",beta!$B$18,IF($A6="F",beta!$B$19,IF($A6="Y",beta!$B$20,IF($A6="W",beta!G25,"Please enter the one-letter code of the residue in column A"))))))))))))))))))))</f>
        <v>1.393</v>
      </c>
      <c r="I6">
        <f>IF($A6="G",bulky!$B$2,IF($A6="A",bulky!$B$3,IF($A6="S",bulky!$B$4,IF($A6="C",bulky!$B$5,IF($A6="D",bulky!$B$6,IF($A6="P",bulky!$B$7,IF($A6="N",bulky!$B$8,IF($A6="T",bulky!$B$9,IF($A6="E",bulky!$B$10,IF($A6="V",bulky!$B$11,IF($A6="Q",bulky!$B$12,IF($A6="H",bulky!$B$13,IF($A6="M",bulky!$B$14,IF($A6="I",bulky!$B$15,IF($A6="L",bulky!$B$16,IF($A6="K",bulky!$B$17,IF($A6="R",bulky!$B$18,IF($A6="F",bulky!$B$19,IF($A6="Y",bulky!$B$20,IF($A6="W",bulky!H25,"Please enter the one-letter code of the residue in column A"))))))))))))))))))))</f>
        <v>19.8</v>
      </c>
      <c r="J6">
        <f>IF($A6="G",surf!$B$2,IF($A6="A",surf!$B$3,IF($A6="S",surf!$B$4,IF($A6="C",surf!$B$5,IF($A6="D",surf!$B$6,IF($A6="P",surf!$B$7,IF($A6="N",surf!$B$8,IF($A6="T",surf!$B$9,IF($A6="E",surf!$B$10,IF($A6="V",surf!$B$11,IF($A6="Q",surf!$B$12,IF($A6="H",surf!$B$13,IF($A6="M",surf!$B$14,IF($A6="I",surf!$B$15,IF($A6="L",surf!$B$16,IF($A6="K",surf!$B$17,IF($A6="R",surf!$B$18,IF($A6="F",surf!$B$19,IF($A6="Y",surf!$B$20,IF($A6="W",surf!I25,"Please enter the one-letter code of the residue in column A"))))))))))))))))))))</f>
        <v>210</v>
      </c>
      <c r="K6">
        <f>IF($A6="G",h_do!$B$2,IF($A6="A",h_do!$B$3,IF($A6="S",h_do!$B$4,IF($A6="C",h_do!$B$5,IF($A6="D",h_do!$B$6,IF($A6="P",h_do!$B$7,IF($A6="N",h_do!$B$8,IF($A6="T",h_do!$B$9,IF($A6="E",h_do!$B$10,IF($A6="V",h_do!$B$11,IF($A6="Q",h_do!$B$12,IF($A6="H",h_do!$B$13,IF($A6="M",h_do!$B$14,IF($A6="I",h_do!$B$15,IF($A6="L",h_do!$B$16,IF($A6="K",h_do!$B$17,IF($A6="R",h_do!$B$18,IF($A6="F",h_do!$B$19,IF($A6="Y",h_do!$B$20,IF($A6="W",h_do!J25,"Please enter the one-letter code of the residue in column A"))))))))))))))))))))</f>
        <v>0</v>
      </c>
      <c r="L6">
        <f>IF($A6="G",h_ac!$B$2,IF($A6="A",h_ac!$B$3,IF($A6="S",h_ac!$B$4,IF($A6="C",h_ac!$B$5,IF($A6="D",h_ac!$B$6,IF($A6="P",h_ac!$B$7,IF($A6="N",h_ac!$B$8,IF($A6="T",h_ac!$B$9,IF($A6="E",h_ac!$B$10,IF($A6="V",h_ac!$B$11,IF($A6="Q",h_ac!$B$12,IF($A6="H",h_ac!$B$13,IF($A6="M",h_ac!$B$14,IF($A6="I",h_ac!$B$15,IF($A6="L",h_ac!$B$16,IF($A6="K",h_ac!$B$17,IF($A6="R",h_ac!$B$18,IF($A6="F",h_ac!$B$19,IF($A6="Y",h_ac!$B$20,IF($A6="W",h_ac!K25,"Please enter the one-letter code of the residue in column A"))))))))))))))))))))</f>
        <v>0</v>
      </c>
      <c r="M6">
        <f>IF($A6="G",b_turn!$B$2,IF($A6="A",b_turn!$B$3,IF($A6="S",b_turn!$B$4,IF($A6="C",b_turn!$B$5,IF($A6="D",b_turn!$B$6,IF($A6="P",b_turn!$B$7,IF($A6="N",b_turn!$B$8,IF($A6="T",b_turn!$B$9,IF($A6="E",b_turn!$B$10,IF($A6="V",b_turn!$B$11,IF($A6="Q",b_turn!$B$12,IF($A6="H",b_turn!$B$13,IF($A6="M",b_turn!$B$14,IF($A6="I",b_turn!$B$15,IF($A6="L",b_turn!$B$16,IF($A6="K",b_turn!$B$17,IF($A6="R",b_turn!$B$18,IF($A6="F",b_turn!$B$19,IF($A6="Y",b_turn!$B$20,IF($A6="W",b_turn!L25,"Please enter the one-letter code of the residue in column A"))))))))))))))))))))</f>
        <v>0.624</v>
      </c>
      <c r="N6">
        <f>IF($A6="G",coil!$B$2,IF($A6="A",coil!$B$3,IF($A6="S",coil!$B$4,IF($A6="C",coil!$B$5,IF($A6="D",coil!$B$6,IF($A6="P",coil!$B$7,IF($A6="N",coil!$B$8,IF($A6="T",coil!$B$9,IF($A6="E",coil!$B$10,IF($A6="V",coil!$B$11,IF($A6="Q",coil!$B$12,IF($A6="H",coil!$B$13,IF($A6="M",coil!$B$14,IF($A6="I",coil!$B$15,IF($A6="L",coil!$B$16,IF($A6="K",coil!$B$17,IF($A6="R",coil!$B$18,IF($A6="F",coil!$B$19,IF($A6="Y",coil!$B$20,IF($A6="W",coil!M25,"Please enter the one-letter code of the residue in column A"))))))))))))))))))))</f>
        <v>0.79700000000000004</v>
      </c>
    </row>
    <row r="7" spans="1:14" x14ac:dyDescent="0.2">
      <c r="A7" t="s">
        <v>4</v>
      </c>
      <c r="B7">
        <v>5.9916666666666663</v>
      </c>
      <c r="C7">
        <f>IF(A7="G",size!$B$2,IF(A7="A",size!$B$3,IF(A7="S",size!$B$4,IF(A7="C",size!$B$5,IF(A7="D",size!$B$6,IF(A7="P",size!$B$7,IF(A7="N",size!$B$8,IF(A7="T",size!$B$9,IF(A7="E",size!$B$10,IF(A7="V",size!$B$11,IF(A7="Q",size!$B$12,IF(A7="H",size!$B$13,IF(A7="M",size!$B$14,IF(A7="I",size!$B$15,IF(A7="L",size!$B$16,IF(A7="K",size!$B$17,IF(A7="R",size!$B$18,IF(A7="F",size!$B$19,IF(A7="Y",size!$B$20,IF(A7="W",size!B26,"Please enter the one-letter code of the residue in column A"))))))))))))))))))))</f>
        <v>111.1</v>
      </c>
      <c r="D7">
        <f>IF($A7="G",kd!$B$2,IF($A7="A",kd!$B$3,IF($A7="S",kd!$B$4,IF($A7="C",kd!$B$5,IF($A7="D",kd!$B$6,IF($A7="P",kd!$B$7,IF($A7="N",kd!$B$8,IF($A7="T",kd!$B$9,IF($A7="E",kd!$B$10,IF($A7="V",kd!$B$11,IF($A7="Q",kd!$B$12,IF($A7="H",kd!$B$13,IF($A7="M",kd!$B$14,IF($A7="I",kd!$B$15,IF($A7="L",kd!$B$16,IF($A7="K",kd!$B$17,IF($A7="R",kd!$B$18,IF($A7="F",kd!$B$19,IF($A7="Y",kd!$B$20,IF($A7="W",kd!C26,"Please enter the one-letter code of the residue in column A"))))))))))))))))))))</f>
        <v>-3.5</v>
      </c>
      <c r="E7">
        <f>IF($A7="G",flxb!$B$2,IF($A7="A",flxb!$B$3,IF($A7="S",flxb!$B$4,IF($A7="C",flxb!$B$5,IF($A7="D",flxb!$B$6,IF($A7="P",flxb!$B$7,IF($A7="N",flxb!$B$8,IF($A7="T",flxb!$B$9,IF($A7="E",flxb!$B$10,IF($A7="V",flxb!$B$11,IF($A7="Q",flxb!$B$12,IF($A7="H",flxb!$B$13,IF($A7="M",flxb!$B$14,IF($A7="I",flxb!$B$15,IF($A7="L",flxb!$B$16,IF($A7="K",flxb!$B$17,IF($A7="R",flxb!$B$18,IF($A7="F",flxb!$B$19,IF($A7="Y",flxb!$B$20,IF($A7="W",flxb!D26,"Please enter the one-letter code of the residue in column A"))))))))))))))))))))</f>
        <v>0.51</v>
      </c>
      <c r="F7">
        <f>IF($A7="G",pol!$B$2,IF($A7="A",pol!$B$3,IF($A7="S",pol!$B$4,IF($A7="C",pol!$B$5,IF($A7="D",pol!$B$6,IF($A7="P",pol!$B$7,IF($A7="N",pol!$B$8,IF($A7="T",pol!$B$9,IF($A7="E",pol!$B$10,IF($A7="V",pol!$B$11,IF($A7="Q",pol!$B$12,IF($A7="H",pol!$B$13,IF($A7="M",pol!$B$14,IF($A7="I",pol!$B$15,IF($A7="L",pol!$B$16,IF($A7="K",pol!$B$17,IF($A7="R",pol!$B$18,IF($A7="F",pol!$B$19,IF($A7="Y",pol!$B$20,IF($A7="W",pol!E26,"Please enter the one-letter code of the residue in column A"))))))))))))))))))))</f>
        <v>13</v>
      </c>
      <c r="G7">
        <f>IF($A7="G",alpha_hx!$B$2,IF($A7="A",alpha_hx!$B$3,IF($A7="S",alpha_hx!$B$4,IF($A7="C",alpha_hx!$B$5,IF($A7="D",alpha_hx!$B$6,IF($A7="P",alpha_hx!$B$7,IF($A7="N",alpha_hx!$B$8,IF($A7="T",alpha_hx!$B$9,IF($A7="E",alpha_hx!$B$10,IF($A7="V",alpha_hx!$B$11,IF($A7="Q",alpha_hx!$B$12,IF($A7="H",alpha_hx!$B$13,IF($A7="M",alpha_hx!$B$14,IF($A7="I",alpha_hx!$B$15,IF($A7="L",alpha_hx!$B$16,IF($A7="K",alpha_hx!$B$17,IF($A7="R",alpha_hx!$B$18,IF($A7="F",alpha_hx!$B$19,IF($A7="Y",alpha_hx!$B$20,IF($A7="W",alpha_hx!F26,"Please enter the one-letter code of the residue in column A"))))))))))))))))))))</f>
        <v>0.92400000000000004</v>
      </c>
      <c r="H7">
        <f>IF($A7="G",beta!$B$2,IF($A7="A",beta!$B$3,IF($A7="S",beta!$B$4,IF($A7="C",beta!$B$5,IF($A7="D",beta!$B$6,IF($A7="P",beta!$B$7,IF($A7="N",beta!$B$8,IF($A7="T",beta!$B$9,IF($A7="E",beta!$B$10,IF($A7="V",beta!$B$11,IF($A7="Q",beta!$B$12,IF($A7="H",beta!$B$13,IF($A7="M",beta!$B$14,IF($A7="I",beta!$B$15,IF($A7="L",beta!$B$16,IF($A7="K",beta!$B$17,IF($A7="R",beta!$B$18,IF($A7="F",beta!$B$19,IF($A7="Y",beta!$B$20,IF($A7="W",beta!G26,"Please enter the one-letter code of the residue in column A"))))))))))))))))))))</f>
        <v>0.54100000000000004</v>
      </c>
      <c r="I7">
        <f>IF($A7="G",bulky!$B$2,IF($A7="A",bulky!$B$3,IF($A7="S",bulky!$B$4,IF($A7="C",bulky!$B$5,IF($A7="D",bulky!$B$6,IF($A7="P",bulky!$B$7,IF($A7="N",bulky!$B$8,IF($A7="T",bulky!$B$9,IF($A7="E",bulky!$B$10,IF($A7="V",bulky!$B$11,IF($A7="Q",bulky!$B$12,IF($A7="H",bulky!$B$13,IF($A7="M",bulky!$B$14,IF($A7="I",bulky!$B$15,IF($A7="L",bulky!$B$16,IF($A7="K",bulky!$B$17,IF($A7="R",bulky!$B$18,IF($A7="F",bulky!$B$19,IF($A7="Y",bulky!$B$20,IF($A7="W",bulky!H26,"Please enter the one-letter code of the residue in column A"))))))))))))))))))))</f>
        <v>11.68</v>
      </c>
      <c r="J7">
        <f>IF($A7="G",surf!$B$2,IF($A7="A",surf!$B$3,IF($A7="S",surf!$B$4,IF($A7="C",surf!$B$5,IF($A7="D",surf!$B$6,IF($A7="P",surf!$B$7,IF($A7="N",surf!$B$8,IF($A7="T",surf!$B$9,IF($A7="E",surf!$B$10,IF($A7="V",surf!$B$11,IF($A7="Q",surf!$B$12,IF($A7="H",surf!$B$13,IF($A7="M",surf!$B$14,IF($A7="I",surf!$B$15,IF($A7="L",surf!$B$16,IF($A7="K",surf!$B$17,IF($A7="R",surf!$B$18,IF($A7="F",surf!$B$19,IF($A7="Y",surf!$B$20,IF($A7="W",surf!I26,"Please enter the one-letter code of the residue in column A"))))))))))))))))))))</f>
        <v>150</v>
      </c>
      <c r="K7">
        <f>IF($A7="G",h_do!$B$2,IF($A7="A",h_do!$B$3,IF($A7="S",h_do!$B$4,IF($A7="C",h_do!$B$5,IF($A7="D",h_do!$B$6,IF($A7="P",h_do!$B$7,IF($A7="N",h_do!$B$8,IF($A7="T",h_do!$B$9,IF($A7="E",h_do!$B$10,IF($A7="V",h_do!$B$11,IF($A7="Q",h_do!$B$12,IF($A7="H",h_do!$B$13,IF($A7="M",h_do!$B$14,IF($A7="I",h_do!$B$15,IF($A7="L",h_do!$B$16,IF($A7="K",h_do!$B$17,IF($A7="R",h_do!$B$18,IF($A7="F",h_do!$B$19,IF($A7="Y",h_do!$B$20,IF($A7="W",h_do!J26,"Please enter the one-letter code of the residue in column A"))))))))))))))))))))</f>
        <v>0</v>
      </c>
      <c r="L7">
        <f>IF($A7="G",h_ac!$B$2,IF($A7="A",h_ac!$B$3,IF($A7="S",h_ac!$B$4,IF($A7="C",h_ac!$B$5,IF($A7="D",h_ac!$B$6,IF($A7="P",h_ac!$B$7,IF($A7="N",h_ac!$B$8,IF($A7="T",h_ac!$B$9,IF($A7="E",h_ac!$B$10,IF($A7="V",h_ac!$B$11,IF($A7="Q",h_ac!$B$12,IF($A7="H",h_ac!$B$13,IF($A7="M",h_ac!$B$14,IF($A7="I",h_ac!$B$15,IF($A7="L",h_ac!$B$16,IF($A7="K",h_ac!$B$17,IF($A7="R",h_ac!$B$18,IF($A7="F",h_ac!$B$19,IF($A7="Y",h_ac!$B$20,IF($A7="W",h_ac!K26,"Please enter the one-letter code of the residue in column A"))))))))))))))))))))</f>
        <v>4</v>
      </c>
      <c r="M7">
        <f>IF($A7="G",b_turn!$B$2,IF($A7="A",b_turn!$B$3,IF($A7="S",b_turn!$B$4,IF($A7="C",b_turn!$B$5,IF($A7="D",b_turn!$B$6,IF($A7="P",b_turn!$B$7,IF($A7="N",b_turn!$B$8,IF($A7="T",b_turn!$B$9,IF($A7="E",b_turn!$B$10,IF($A7="V",b_turn!$B$11,IF($A7="Q",b_turn!$B$12,IF($A7="H",b_turn!$B$13,IF($A7="M",b_turn!$B$14,IF($A7="I",b_turn!$B$15,IF($A7="L",b_turn!$B$16,IF($A7="K",b_turn!$B$17,IF($A7="R",b_turn!$B$18,IF($A7="F",b_turn!$B$19,IF($A7="Y",b_turn!$B$20,IF($A7="W",b_turn!L26,""))))))))))))))))))))</f>
        <v>1.1970000000000001</v>
      </c>
      <c r="N7">
        <f>IF($A7="G",coil!$B$2,IF($A7="A",coil!$B$3,IF($A7="S",coil!$B$4,IF($A7="C",coil!$B$5,IF($A7="D",coil!$B$6,IF($A7="P",coil!$B$7,IF($A7="N",coil!$B$8,IF($A7="T",coil!$B$9,IF($A7="E",coil!$B$10,IF($A7="V",coil!$B$11,IF($A7="Q",coil!$B$12,IF($A7="H",coil!$B$13,IF($A7="M",coil!$B$14,IF($A7="I",coil!$B$15,IF($A7="L",coil!$B$16,IF($A7="K",coil!$B$17,IF($A7="R",coil!$B$18,IF($A7="F",coil!$B$19,IF($A7="Y",coil!$B$20,IF($A7="W",coil!M26,""))))))))))))))))))))</f>
        <v>1.1970000000000001</v>
      </c>
    </row>
    <row r="8" spans="1:14" x14ac:dyDescent="0.2">
      <c r="A8" t="s">
        <v>5</v>
      </c>
      <c r="B8">
        <v>5.8110714285714264</v>
      </c>
      <c r="C8">
        <f>IF(A8="G",size!$B$2,IF(A8="A",size!$B$3,IF(A8="S",size!$B$4,IF(A8="C",size!$B$5,IF(A8="D",size!$B$6,IF(A8="P",size!$B$7,IF(A8="N",size!$B$8,IF(A8="T",size!$B$9,IF(A8="E",size!$B$10,IF(A8="V",size!$B$11,IF(A8="Q",size!$B$12,IF(A8="H",size!$B$13,IF(A8="M",size!$B$14,IF(A8="I",size!$B$15,IF(A8="L",size!$B$16,IF(A8="K",size!$B$17,IF(A8="R",size!$B$18,IF(A8="F",size!$B$19,IF(A8="Y",size!$B$20,IF(A8="W",size!B27,"Please enter the one-letter code of the residue in column A"))))))))))))))))))))</f>
        <v>138.4</v>
      </c>
      <c r="D8">
        <f>IF($A8="G",kd!$B$2,IF($A8="A",kd!$B$3,IF($A8="S",kd!$B$4,IF($A8="C",kd!$B$5,IF($A8="D",kd!$B$6,IF($A8="P",kd!$B$7,IF($A8="N",kd!$B$8,IF($A8="T",kd!$B$9,IF($A8="E",kd!$B$10,IF($A8="V",kd!$B$11,IF($A8="Q",kd!$B$12,IF($A8="H",kd!$B$13,IF($A8="M",kd!$B$14,IF($A8="I",kd!$B$15,IF($A8="L",kd!$B$16,IF($A8="K",kd!$B$17,IF($A8="R",kd!$B$18,IF($A8="F",kd!$B$19,IF($A8="Y",kd!$B$20,IF($A8="W",kd!C27,"Please enter the one-letter code of the residue in column A"))))))))))))))))))))</f>
        <v>-3.5</v>
      </c>
      <c r="E8">
        <f>IF($A8="G",flxb!$B$2,IF($A8="A",flxb!$B$3,IF($A8="S",flxb!$B$4,IF($A8="C",flxb!$B$5,IF($A8="D",flxb!$B$6,IF($A8="P",flxb!$B$7,IF($A8="N",flxb!$B$8,IF($A8="T",flxb!$B$9,IF($A8="E",flxb!$B$10,IF($A8="V",flxb!$B$11,IF($A8="Q",flxb!$B$12,IF($A8="H",flxb!$B$13,IF($A8="M",flxb!$B$14,IF($A8="I",flxb!$B$15,IF($A8="L",flxb!$B$16,IF($A8="K",flxb!$B$17,IF($A8="R",flxb!$B$18,IF($A8="F",flxb!$B$19,IF($A8="Y",flxb!$B$20,IF($A8="W",flxb!D27,"Please enter the one-letter code of the residue in column A"))))))))))))))))))))</f>
        <v>0.5</v>
      </c>
      <c r="F8">
        <f>IF($A8="G",pol!$B$2,IF($A8="A",pol!$B$3,IF($A8="S",pol!$B$4,IF($A8="C",pol!$B$5,IF($A8="D",pol!$B$6,IF($A8="P",pol!$B$7,IF($A8="N",pol!$B$8,IF($A8="T",pol!$B$9,IF($A8="E",pol!$B$10,IF($A8="V",pol!$B$11,IF($A8="Q",pol!$B$12,IF($A8="H",pol!$B$13,IF($A8="M",pol!$B$14,IF($A8="I",pol!$B$15,IF($A8="L",pol!$B$16,IF($A8="K",pol!$B$17,IF($A8="R",pol!$B$18,IF($A8="F",pol!$B$19,IF($A8="Y",pol!$B$20,IF($A8="W",pol!E27,"Please enter the one-letter code of the residue in column A"))))))))))))))))))))</f>
        <v>12.3</v>
      </c>
      <c r="G8">
        <f>IF($A8="G",alpha_hx!$B$2,IF($A8="A",alpha_hx!$B$3,IF($A8="S",alpha_hx!$B$4,IF($A8="C",alpha_hx!$B$5,IF($A8="D",alpha_hx!$B$6,IF($A8="P",alpha_hx!$B$7,IF($A8="N",alpha_hx!$B$8,IF($A8="T",alpha_hx!$B$9,IF($A8="E",alpha_hx!$B$10,IF($A8="V",alpha_hx!$B$11,IF($A8="Q",alpha_hx!$B$12,IF($A8="H",alpha_hx!$B$13,IF($A8="M",alpha_hx!$B$14,IF($A8="I",alpha_hx!$B$15,IF($A8="L",alpha_hx!$B$16,IF($A8="K",alpha_hx!$B$17,IF($A8="R",alpha_hx!$B$18,IF($A8="F",alpha_hx!$B$19,IF($A8="Y",alpha_hx!$B$20,IF($A8="W",alpha_hx!F27,"Please enter the one-letter code of the residue in column A"))))))))))))))))))))</f>
        <v>1.504</v>
      </c>
      <c r="H8">
        <f>IF($A8="G",beta!$B$2,IF($A8="A",beta!$B$3,IF($A8="S",beta!$B$4,IF($A8="C",beta!$B$5,IF($A8="D",beta!$B$6,IF($A8="P",beta!$B$7,IF($A8="N",beta!$B$8,IF($A8="T",beta!$B$9,IF($A8="E",beta!$B$10,IF($A8="V",beta!$B$11,IF($A8="Q",beta!$B$12,IF($A8="H",beta!$B$13,IF($A8="M",beta!$B$14,IF($A8="I",beta!$B$15,IF($A8="L",beta!$B$16,IF($A8="K",beta!$B$17,IF($A8="R",beta!$B$18,IF($A8="F",beta!$B$19,IF($A8="Y",beta!$B$20,IF($A8="W",beta!G27,"Please enter the one-letter code of the residue in column A"))))))))))))))))))))</f>
        <v>0.56699999999999995</v>
      </c>
      <c r="I8">
        <f>IF($A8="G",bulky!$B$2,IF($A8="A",bulky!$B$3,IF($A8="S",bulky!$B$4,IF($A8="C",bulky!$B$5,IF($A8="D",bulky!$B$6,IF($A8="P",bulky!$B$7,IF($A8="N",bulky!$B$8,IF($A8="T",bulky!$B$9,IF($A8="E",bulky!$B$10,IF($A8="V",bulky!$B$11,IF($A8="Q",bulky!$B$12,IF($A8="H",bulky!$B$13,IF($A8="M",bulky!$B$14,IF($A8="I",bulky!$B$15,IF($A8="L",bulky!$B$16,IF($A8="K",bulky!$B$17,IF($A8="R",bulky!$B$18,IF($A8="F",bulky!$B$19,IF($A8="Y",bulky!$B$20,IF($A8="W",bulky!H27,"Please enter the one-letter code of the residue in column A"))))))))))))))))))))</f>
        <v>13.57</v>
      </c>
      <c r="J8">
        <f>IF($A8="G",surf!$B$2,IF($A8="A",surf!$B$3,IF($A8="S",surf!$B$4,IF($A8="C",surf!$B$5,IF($A8="D",surf!$B$6,IF($A8="P",surf!$B$7,IF($A8="N",surf!$B$8,IF($A8="T",surf!$B$9,IF($A8="E",surf!$B$10,IF($A8="V",surf!$B$11,IF($A8="Q",surf!$B$12,IF($A8="H",surf!$B$13,IF($A8="M",surf!$B$14,IF($A8="I",surf!$B$15,IF($A8="L",surf!$B$16,IF($A8="K",surf!$B$17,IF($A8="R",surf!$B$18,IF($A8="F",surf!$B$19,IF($A8="Y",surf!$B$20,IF($A8="W",surf!I27,"Please enter the one-letter code of the residue in column A"))))))))))))))))))))</f>
        <v>190</v>
      </c>
      <c r="K8">
        <f>IF($A8="G",h_do!$B$2,IF($A8="A",h_do!$B$3,IF($A8="S",h_do!$B$4,IF($A8="C",h_do!$B$5,IF($A8="D",h_do!$B$6,IF($A8="P",h_do!$B$7,IF($A8="N",h_do!$B$8,IF($A8="T",h_do!$B$9,IF($A8="E",h_do!$B$10,IF($A8="V",h_do!$B$11,IF($A8="Q",h_do!$B$12,IF($A8="H",h_do!$B$13,IF($A8="M",h_do!$B$14,IF($A8="I",h_do!$B$15,IF($A8="L",h_do!$B$16,IF($A8="K",h_do!$B$17,IF($A8="R",h_do!$B$18,IF($A8="F",h_do!$B$19,IF($A8="Y",h_do!$B$20,IF($A8="W",h_do!J27,"Please enter the one-letter code of the residue in column A"))))))))))))))))))))</f>
        <v>0</v>
      </c>
      <c r="L8">
        <f>IF($A8="G",h_ac!$B$2,IF($A8="A",h_ac!$B$3,IF($A8="S",h_ac!$B$4,IF($A8="C",h_ac!$B$5,IF($A8="D",h_ac!$B$6,IF($A8="P",h_ac!$B$7,IF($A8="N",h_ac!$B$8,IF($A8="T",h_ac!$B$9,IF($A8="E",h_ac!$B$10,IF($A8="V",h_ac!$B$11,IF($A8="Q",h_ac!$B$12,IF($A8="H",h_ac!$B$13,IF($A8="M",h_ac!$B$14,IF($A8="I",h_ac!$B$15,IF($A8="L",h_ac!$B$16,IF($A8="K",h_ac!$B$17,IF($A8="R",h_ac!$B$18,IF($A8="F",h_ac!$B$19,IF($A8="Y",h_ac!$B$20,IF($A8="W",h_ac!K27,"Please enter the one-letter code of the residue in column A"))))))))))))))))))))</f>
        <v>4</v>
      </c>
      <c r="M8">
        <f>IF($A8="G",b_turn!$B$2,IF($A8="A",b_turn!$B$3,IF($A8="S",b_turn!$B$4,IF($A8="C",b_turn!$B$5,IF($A8="D",b_turn!$B$6,IF($A8="P",b_turn!$B$7,IF($A8="N",b_turn!$B$8,IF($A8="T",b_turn!$B$9,IF($A8="E",b_turn!$B$10,IF($A8="V",b_turn!$B$11,IF($A8="Q",b_turn!$B$12,IF($A8="H",b_turn!$B$13,IF($A8="M",b_turn!$B$14,IF($A8="I",b_turn!$B$15,IF($A8="L",b_turn!$B$16,IF($A8="K",b_turn!$B$17,IF($A8="R",b_turn!$B$18,IF($A8="F",b_turn!$B$19,IF($A8="Y",b_turn!$B$20,IF($A8="W",b_turn!L27,""))))))))))))))))))))</f>
        <v>1.149</v>
      </c>
      <c r="N8">
        <f>IF($A8="G",coil!$B$2,IF($A8="A",coil!$B$3,IF($A8="S",coil!$B$4,IF($A8="C",coil!$B$5,IF($A8="D",coil!$B$6,IF($A8="P",coil!$B$7,IF($A8="N",coil!$B$8,IF($A8="T",coil!$B$9,IF($A8="E",coil!$B$10,IF($A8="V",coil!$B$11,IF($A8="Q",coil!$B$12,IF($A8="H",coil!$B$13,IF($A8="M",coil!$B$14,IF($A8="I",coil!$B$15,IF($A8="L",coil!$B$16,IF($A8="K",coil!$B$17,IF($A8="R",coil!$B$18,IF($A8="F",coil!$B$19,IF($A8="Y",coil!$B$20,IF($A8="W",coil!M27,""))))))))))))))))))))</f>
        <v>0.76100000000000001</v>
      </c>
    </row>
    <row r="9" spans="1:14" x14ac:dyDescent="0.2">
      <c r="A9" t="s">
        <v>6</v>
      </c>
      <c r="B9">
        <v>6.4032222222222224</v>
      </c>
      <c r="C9">
        <f>IF(A9="G",size!$B$2,IF(A9="A",size!$B$3,IF(A9="S",size!$B$4,IF(A9="C",size!$B$5,IF(A9="D",size!$B$6,IF(A9="P",size!$B$7,IF(A9="N",size!$B$8,IF(A9="T",size!$B$9,IF(A9="E",size!$B$10,IF(A9="V",size!$B$11,IF(A9="Q",size!$B$12,IF(A9="H",size!$B$13,IF(A9="M",size!$B$14,IF(A9="I",size!$B$15,IF(A9="L",size!$B$16,IF(A9="K",size!$B$17,IF(A9="R",size!$B$18,IF(A9="F",size!$B$19,IF(A9="Y",size!$B$20,IF(A9="W",size!B28,"Please enter the one-letter code of the residue in column A"))))))))))))))))))))</f>
        <v>168.6</v>
      </c>
      <c r="D9">
        <f>IF($A9="G",kd!$B$2,IF($A9="A",kd!$B$3,IF($A9="S",kd!$B$4,IF($A9="C",kd!$B$5,IF($A9="D",kd!$B$6,IF($A9="P",kd!$B$7,IF($A9="N",kd!$B$8,IF($A9="T",kd!$B$9,IF($A9="E",kd!$B$10,IF($A9="V",kd!$B$11,IF($A9="Q",kd!$B$12,IF($A9="H",kd!$B$13,IF($A9="M",kd!$B$14,IF($A9="I",kd!$B$15,IF($A9="L",kd!$B$16,IF($A9="K",kd!$B$17,IF($A9="R",kd!$B$18,IF($A9="F",kd!$B$19,IF($A9="Y",kd!$B$20,IF($A9="W",kd!C28,"Please enter the one-letter code of the residue in column A"))))))))))))))))))))</f>
        <v>-3.9</v>
      </c>
      <c r="E9">
        <f>IF($A9="G",flxb!$B$2,IF($A9="A",flxb!$B$3,IF($A9="S",flxb!$B$4,IF($A9="C",flxb!$B$5,IF($A9="D",flxb!$B$6,IF($A9="P",flxb!$B$7,IF($A9="N",flxb!$B$8,IF($A9="T",flxb!$B$9,IF($A9="E",flxb!$B$10,IF($A9="V",flxb!$B$11,IF($A9="Q",flxb!$B$12,IF($A9="H",flxb!$B$13,IF($A9="M",flxb!$B$14,IF($A9="I",flxb!$B$15,IF($A9="L",flxb!$B$16,IF($A9="K",flxb!$B$17,IF($A9="R",flxb!$B$18,IF($A9="F",flxb!$B$19,IF($A9="Y",flxb!$B$20,IF($A9="W",flxb!D28,"Please enter the one-letter code of the residue in column A"))))))))))))))))))))</f>
        <v>0.47</v>
      </c>
      <c r="F9">
        <f>IF($A9="G",pol!$B$2,IF($A9="A",pol!$B$3,IF($A9="S",pol!$B$4,IF($A9="C",pol!$B$5,IF($A9="D",pol!$B$6,IF($A9="P",pol!$B$7,IF($A9="N",pol!$B$8,IF($A9="T",pol!$B$9,IF($A9="E",pol!$B$10,IF($A9="V",pol!$B$11,IF($A9="Q",pol!$B$12,IF($A9="H",pol!$B$13,IF($A9="M",pol!$B$14,IF($A9="I",pol!$B$15,IF($A9="L",pol!$B$16,IF($A9="K",pol!$B$17,IF($A9="R",pol!$B$18,IF($A9="F",pol!$B$19,IF($A9="Y",pol!$B$20,IF($A9="W",pol!E28,"Please enter the one-letter code of the residue in column A"))))))))))))))))))))</f>
        <v>11.3</v>
      </c>
      <c r="G9">
        <f>IF($A9="G",alpha_hx!$B$2,IF($A9="A",alpha_hx!$B$3,IF($A9="S",alpha_hx!$B$4,IF($A9="C",alpha_hx!$B$5,IF($A9="D",alpha_hx!$B$6,IF($A9="P",alpha_hx!$B$7,IF($A9="N",alpha_hx!$B$8,IF($A9="T",alpha_hx!$B$9,IF($A9="E",alpha_hx!$B$10,IF($A9="V",alpha_hx!$B$11,IF($A9="Q",alpha_hx!$B$12,IF($A9="H",alpha_hx!$B$13,IF($A9="M",alpha_hx!$B$14,IF($A9="I",alpha_hx!$B$15,IF($A9="L",alpha_hx!$B$16,IF($A9="K",alpha_hx!$B$17,IF($A9="R",alpha_hx!$B$18,IF($A9="F",alpha_hx!$B$19,IF($A9="Y",alpha_hx!$B$20,IF($A9="W",alpha_hx!F28,"Please enter the one-letter code of the residue in column A"))))))))))))))))))))</f>
        <v>1.1719999999999999</v>
      </c>
      <c r="H9">
        <f>IF($A9="G",beta!$B$2,IF($A9="A",beta!$B$3,IF($A9="S",beta!$B$4,IF($A9="C",beta!$B$5,IF($A9="D",beta!$B$6,IF($A9="P",beta!$B$7,IF($A9="N",beta!$B$8,IF($A9="T",beta!$B$9,IF($A9="E",beta!$B$10,IF($A9="V",beta!$B$11,IF($A9="Q",beta!$B$12,IF($A9="H",beta!$B$13,IF($A9="M",beta!$B$14,IF($A9="I",beta!$B$15,IF($A9="L",beta!$B$16,IF($A9="K",beta!$B$17,IF($A9="R",beta!$B$18,IF($A9="F",beta!$B$19,IF($A9="Y",beta!$B$20,IF($A9="W",beta!G28,"Please enter the one-letter code of the residue in column A"))))))))))))))))))))</f>
        <v>0.72099999999999997</v>
      </c>
      <c r="I9">
        <f>IF($A9="G",bulky!$B$2,IF($A9="A",bulky!$B$3,IF($A9="S",bulky!$B$4,IF($A9="C",bulky!$B$5,IF($A9="D",bulky!$B$6,IF($A9="P",bulky!$B$7,IF($A9="N",bulky!$B$8,IF($A9="T",bulky!$B$9,IF($A9="E",bulky!$B$10,IF($A9="V",bulky!$B$11,IF($A9="Q",bulky!$B$12,IF($A9="H",bulky!$B$13,IF($A9="M",bulky!$B$14,IF($A9="I",bulky!$B$15,IF($A9="L",bulky!$B$16,IF($A9="K",bulky!$B$17,IF($A9="R",bulky!$B$18,IF($A9="F",bulky!$B$19,IF($A9="Y",bulky!$B$20,IF($A9="W",bulky!H28,"Please enter the one-letter code of the residue in column A"))))))))))))))))))))</f>
        <v>15.71</v>
      </c>
      <c r="J9">
        <f>IF($A9="G",surf!$B$2,IF($A9="A",surf!$B$3,IF($A9="S",surf!$B$4,IF($A9="C",surf!$B$5,IF($A9="D",surf!$B$6,IF($A9="P",surf!$B$7,IF($A9="N",surf!$B$8,IF($A9="T",surf!$B$9,IF($A9="E",surf!$B$10,IF($A9="V",surf!$B$11,IF($A9="Q",surf!$B$12,IF($A9="H",surf!$B$13,IF($A9="M",surf!$B$14,IF($A9="I",surf!$B$15,IF($A9="L",surf!$B$16,IF($A9="K",surf!$B$17,IF($A9="R",surf!$B$18,IF($A9="F",surf!$B$19,IF($A9="Y",surf!$B$20,IF($A9="W",surf!I28,"Please enter the one-letter code of the residue in column A"))))))))))))))))))))</f>
        <v>200</v>
      </c>
      <c r="K9">
        <f>IF($A9="G",h_do!$B$2,IF($A9="A",h_do!$B$3,IF($A9="S",h_do!$B$4,IF($A9="C",h_do!$B$5,IF($A9="D",h_do!$B$6,IF($A9="P",h_do!$B$7,IF($A9="N",h_do!$B$8,IF($A9="T",h_do!$B$9,IF($A9="E",h_do!$B$10,IF($A9="V",h_do!$B$11,IF($A9="Q",h_do!$B$12,IF($A9="H",h_do!$B$13,IF($A9="M",h_do!$B$14,IF($A9="I",h_do!$B$15,IF($A9="L",h_do!$B$16,IF($A9="K",h_do!$B$17,IF($A9="R",h_do!$B$18,IF($A9="F",h_do!$B$19,IF($A9="Y",h_do!$B$20,IF($A9="W",h_do!J28,"Please enter the one-letter code of the residue in column A"))))))))))))))))))))</f>
        <v>3</v>
      </c>
      <c r="L9">
        <f>IF($A9="G",h_ac!$B$2,IF($A9="A",h_ac!$B$3,IF($A9="S",h_ac!$B$4,IF($A9="C",h_ac!$B$5,IF($A9="D",h_ac!$B$6,IF($A9="P",h_ac!$B$7,IF($A9="N",h_ac!$B$8,IF($A9="T",h_ac!$B$9,IF($A9="E",h_ac!$B$10,IF($A9="V",h_ac!$B$11,IF($A9="Q",h_ac!$B$12,IF($A9="H",h_ac!$B$13,IF($A9="M",h_ac!$B$14,IF($A9="I",h_ac!$B$15,IF($A9="L",h_ac!$B$16,IF($A9="K",h_ac!$B$17,IF($A9="R",h_ac!$B$18,IF($A9="F",h_ac!$B$19,IF($A9="Y",h_ac!$B$20,IF($A9="W",h_ac!K28,"Please enter the one-letter code of the residue in column A"))))))))))))))))))))</f>
        <v>0</v>
      </c>
      <c r="M9">
        <f>IF($A9="G",b_turn!$B$2,IF($A9="A",b_turn!$B$3,IF($A9="S",b_turn!$B$4,IF($A9="C",b_turn!$B$5,IF($A9="D",b_turn!$B$6,IF($A9="P",b_turn!$B$7,IF($A9="N",b_turn!$B$8,IF($A9="T",b_turn!$B$9,IF($A9="E",b_turn!$B$10,IF($A9="V",b_turn!$B$11,IF($A9="Q",b_turn!$B$12,IF($A9="H",b_turn!$B$13,IF($A9="M",b_turn!$B$14,IF($A9="I",b_turn!$B$15,IF($A9="L",b_turn!$B$16,IF($A9="K",b_turn!$B$17,IF($A9="R",b_turn!$B$18,IF($A9="F",b_turn!$B$19,IF($A9="Y",b_turn!$B$20,IF($A9="W",b_turn!L28,""))))))))))))))))))))</f>
        <v>1.302</v>
      </c>
      <c r="N9">
        <f>IF($A9="G",coil!$B$2,IF($A9="A",coil!$B$3,IF($A9="S",coil!$B$4,IF($A9="C",coil!$B$5,IF($A9="D",coil!$B$6,IF($A9="P",coil!$B$7,IF($A9="N",coil!$B$8,IF($A9="T",coil!$B$9,IF($A9="E",coil!$B$10,IF($A9="V",coil!$B$11,IF($A9="Q",coil!$B$12,IF($A9="H",coil!$B$13,IF($A9="M",coil!$B$14,IF($A9="I",coil!$B$15,IF($A9="L",coil!$B$16,IF($A9="K",coil!$B$17,IF($A9="R",coil!$B$18,IF($A9="F",coil!$B$19,IF($A9="Y",coil!$B$20,IF($A9="W",coil!M28,""))))))))))))))))))))</f>
        <v>0.89700000000000002</v>
      </c>
    </row>
    <row r="10" spans="1:14" x14ac:dyDescent="0.2">
      <c r="A10" t="s">
        <v>14</v>
      </c>
    </row>
    <row r="11" spans="1:14" x14ac:dyDescent="0.2">
      <c r="A11" t="s">
        <v>17</v>
      </c>
    </row>
    <row r="12" spans="1:14" x14ac:dyDescent="0.2">
      <c r="A12" t="s">
        <v>20</v>
      </c>
    </row>
    <row r="14" spans="1:14" x14ac:dyDescent="0.2">
      <c r="A14" t="s">
        <v>37</v>
      </c>
    </row>
    <row r="15" spans="1:14" x14ac:dyDescent="0.2">
      <c r="A15" t="s">
        <v>26</v>
      </c>
      <c r="B15" s="1">
        <f t="shared" ref="B15:D15" si="0">AVERAGE(B2:B13)</f>
        <v>6.2023677097816012</v>
      </c>
      <c r="C15" s="1">
        <f t="shared" si="0"/>
        <v>141.69999999999999</v>
      </c>
      <c r="D15" s="1">
        <f t="shared" si="0"/>
        <v>-1.1000000000000001</v>
      </c>
      <c r="E15" s="1">
        <f t="shared" ref="E15:F15" si="1">AVERAGE(E2:E13)</f>
        <v>0.41874999999999996</v>
      </c>
      <c r="F15" s="1">
        <f t="shared" si="1"/>
        <v>9.5875000000000004</v>
      </c>
      <c r="G15" s="1">
        <f t="shared" ref="G15:I15" si="2">AVERAGE(G2:G13)</f>
        <v>1.1801250000000001</v>
      </c>
      <c r="H15" s="1">
        <f t="shared" ref="H15" si="3">AVERAGE(H2:H13)</f>
        <v>0.94987500000000002</v>
      </c>
      <c r="I15" s="1">
        <f t="shared" si="2"/>
        <v>15.24625</v>
      </c>
      <c r="J15" s="1">
        <f t="shared" ref="J15:K15" si="4">AVERAGE(J2:J13)</f>
        <v>174.375</v>
      </c>
      <c r="K15" s="1">
        <f t="shared" si="4"/>
        <v>0.875</v>
      </c>
      <c r="L15" s="1">
        <f t="shared" ref="L15:N15" si="5">AVERAGE(L2:L13)</f>
        <v>1.5</v>
      </c>
      <c r="M15" s="1">
        <f t="shared" si="5"/>
        <v>0.92674999999999996</v>
      </c>
      <c r="N15" s="1">
        <f t="shared" si="5"/>
        <v>0.90787499999999999</v>
      </c>
    </row>
    <row r="16" spans="1:14" x14ac:dyDescent="0.2">
      <c r="A16" t="s">
        <v>27</v>
      </c>
      <c r="B16" s="1">
        <f t="shared" ref="B16:D16" si="6">STDEV(B2:B13)</f>
        <v>0.22604650200552023</v>
      </c>
      <c r="C16" s="1">
        <f t="shared" si="6"/>
        <v>31.517024877720587</v>
      </c>
      <c r="D16" s="1">
        <f t="shared" si="6"/>
        <v>3.4067160559275091</v>
      </c>
      <c r="E16" s="1">
        <f t="shared" ref="E16:F16" si="7">STDEV(E2:E13)</f>
        <v>8.3227313511164816E-2</v>
      </c>
      <c r="F16" s="1">
        <f t="shared" si="7"/>
        <v>2.8905943531193938</v>
      </c>
      <c r="G16" s="1">
        <f t="shared" ref="G16:I16" si="8">STDEV(G2:G13)</f>
        <v>0.21842516698271752</v>
      </c>
      <c r="H16" s="1">
        <f t="shared" ref="H16" si="9">STDEV(H2:H13)</f>
        <v>0.48853057734393662</v>
      </c>
      <c r="I16" s="1">
        <f t="shared" si="8"/>
        <v>3.6559108206535127</v>
      </c>
      <c r="J16" s="1">
        <f t="shared" ref="J16:K16" si="10">STDEV(J2:J13)</f>
        <v>31.896876246518474</v>
      </c>
      <c r="K16" s="1">
        <f t="shared" si="10"/>
        <v>1.2464234547582249</v>
      </c>
      <c r="L16" s="1">
        <f t="shared" ref="L16:N16" si="11">STDEV(L2:L13)</f>
        <v>1.7728105208558367</v>
      </c>
      <c r="M16" s="1">
        <f t="shared" si="11"/>
        <v>0.30990493934200469</v>
      </c>
      <c r="N16" s="1">
        <f t="shared" si="11"/>
        <v>0.15595094237795273</v>
      </c>
    </row>
    <row r="18" spans="1:14" x14ac:dyDescent="0.2">
      <c r="A18" t="s">
        <v>28</v>
      </c>
      <c r="C18" s="1">
        <f t="shared" ref="C18:N18" si="12">CORREL($B2:$B13,C2:C13)</f>
        <v>0.22726062794810215</v>
      </c>
      <c r="D18" s="1">
        <f t="shared" si="12"/>
        <v>1.7396725263246531E-2</v>
      </c>
      <c r="E18" s="1">
        <f t="shared" si="12"/>
        <v>-0.42278992821658901</v>
      </c>
      <c r="F18" s="1">
        <f t="shared" si="12"/>
        <v>-0.21622785511685236</v>
      </c>
      <c r="G18" s="1">
        <f t="shared" si="12"/>
        <v>-0.4173628654245588</v>
      </c>
      <c r="H18" s="1">
        <f t="shared" si="12"/>
        <v>0.24863042501787785</v>
      </c>
      <c r="I18" s="1">
        <f t="shared" si="12"/>
        <v>0.17149483828228851</v>
      </c>
      <c r="J18" s="1">
        <f t="shared" si="12"/>
        <v>0.10247698005637346</v>
      </c>
      <c r="K18" s="1">
        <f t="shared" si="12"/>
        <v>0.71645146446482666</v>
      </c>
      <c r="L18" s="1">
        <f t="shared" si="12"/>
        <v>-0.56949736882496838</v>
      </c>
      <c r="M18" s="1">
        <f t="shared" si="12"/>
        <v>-0.13357243908807459</v>
      </c>
      <c r="N18" s="1">
        <f t="shared" si="12"/>
        <v>0.18464765678594053</v>
      </c>
    </row>
    <row r="19" spans="1:14" x14ac:dyDescent="0.2">
      <c r="A19" t="s">
        <v>30</v>
      </c>
      <c r="C19" s="2">
        <f t="shared" ref="C19:N19" si="13">SLOPE(C2:C13, $B2:$B13)</f>
        <v>31.686307026294163</v>
      </c>
      <c r="D19" s="2">
        <f t="shared" si="13"/>
        <v>0.26218367791161118</v>
      </c>
      <c r="E19" s="2">
        <f t="shared" si="13"/>
        <v>-0.15566562451908944</v>
      </c>
      <c r="F19" s="2">
        <f t="shared" si="13"/>
        <v>-2.7650373327724735</v>
      </c>
      <c r="G19" s="2">
        <f t="shared" si="13"/>
        <v>-0.40329114922786541</v>
      </c>
      <c r="H19" s="2">
        <f t="shared" si="13"/>
        <v>0.53733883958215811</v>
      </c>
      <c r="I19" s="2">
        <f t="shared" si="13"/>
        <v>2.7736321040134095</v>
      </c>
      <c r="J19" s="2">
        <f t="shared" si="13"/>
        <v>14.460279287556776</v>
      </c>
      <c r="K19" s="2">
        <f t="shared" si="13"/>
        <v>3.9505230188566731</v>
      </c>
      <c r="L19" s="2">
        <f t="shared" si="13"/>
        <v>-4.4663859785273967</v>
      </c>
      <c r="M19" s="2">
        <f t="shared" si="13"/>
        <v>-0.18312496882761956</v>
      </c>
      <c r="N19" s="2">
        <f t="shared" si="13"/>
        <v>0.12738961155410811</v>
      </c>
    </row>
    <row r="20" spans="1:14" x14ac:dyDescent="0.2">
      <c r="A20" t="s">
        <v>31</v>
      </c>
      <c r="C20" s="2">
        <f t="shared" ref="C20:N20" si="14">INTERCEPT(C2:C13, $B2:$B13)</f>
        <v>-54.830127542112791</v>
      </c>
      <c r="D20" s="2">
        <f t="shared" si="14"/>
        <v>-2.7261595779107566</v>
      </c>
      <c r="E20" s="2">
        <f t="shared" si="14"/>
        <v>1.3842454430401874</v>
      </c>
      <c r="F20" s="2">
        <f t="shared" si="14"/>
        <v>26.737278269128637</v>
      </c>
      <c r="G20" s="2">
        <f t="shared" si="14"/>
        <v>3.6814850016116258</v>
      </c>
      <c r="H20" s="2">
        <f t="shared" si="14"/>
        <v>-2.3828980678358933</v>
      </c>
      <c r="I20" s="2">
        <f t="shared" si="14"/>
        <v>-1.9568362007463733</v>
      </c>
      <c r="J20" s="2">
        <f t="shared" si="14"/>
        <v>84.687030672434148</v>
      </c>
      <c r="K20" s="2">
        <f t="shared" si="14"/>
        <v>-23.627596408905561</v>
      </c>
      <c r="L20" s="2">
        <f t="shared" si="14"/>
        <v>29.202168172639624</v>
      </c>
      <c r="M20" s="2">
        <f t="shared" si="14"/>
        <v>2.06255839351119</v>
      </c>
      <c r="N20" s="2">
        <f t="shared" si="14"/>
        <v>0.11775778673517867</v>
      </c>
    </row>
    <row r="21" spans="1:14" x14ac:dyDescent="0.2">
      <c r="A21" t="s">
        <v>32</v>
      </c>
      <c r="C21" s="2">
        <f t="shared" ref="C21:N21" si="15">RSQ(C2:C13, $B2:$B13)</f>
        <v>5.1647393015365695E-2</v>
      </c>
      <c r="D21" s="2">
        <f t="shared" si="15"/>
        <v>3.0264604988488008E-4</v>
      </c>
      <c r="E21" s="2">
        <f t="shared" si="15"/>
        <v>0.17875132340138852</v>
      </c>
      <c r="F21" s="2">
        <f t="shared" si="15"/>
        <v>4.6754485328434479E-2</v>
      </c>
      <c r="G21" s="2">
        <f t="shared" si="15"/>
        <v>0.17419176143539838</v>
      </c>
      <c r="H21" s="2">
        <f t="shared" si="15"/>
        <v>6.1817088244570585E-2</v>
      </c>
      <c r="I21" s="2">
        <f t="shared" si="15"/>
        <v>2.9410479557468287E-2</v>
      </c>
      <c r="J21" s="2">
        <f t="shared" si="15"/>
        <v>1.0501531441474364E-2</v>
      </c>
      <c r="K21" s="2">
        <f t="shared" si="15"/>
        <v>0.51330270093379482</v>
      </c>
      <c r="L21" s="2">
        <f t="shared" si="15"/>
        <v>0.32432725309856208</v>
      </c>
      <c r="M21" s="2">
        <f t="shared" si="15"/>
        <v>1.7841596483937388E-2</v>
      </c>
      <c r="N21" s="2">
        <f t="shared" si="15"/>
        <v>3.409475715653848E-2</v>
      </c>
    </row>
    <row r="22" spans="1:14" x14ac:dyDescent="0.2">
      <c r="A22" t="s">
        <v>33</v>
      </c>
      <c r="C22">
        <f>COUNT($B2:$B13)</f>
        <v>8</v>
      </c>
      <c r="D22">
        <f t="shared" ref="D22:I22" si="16">COUNT($B2:$B13)</f>
        <v>8</v>
      </c>
      <c r="E22">
        <f t="shared" si="16"/>
        <v>8</v>
      </c>
      <c r="F22">
        <f t="shared" si="16"/>
        <v>8</v>
      </c>
      <c r="G22">
        <f t="shared" si="16"/>
        <v>8</v>
      </c>
      <c r="H22">
        <f t="shared" ref="H22" si="17">COUNT($B2:$B13)</f>
        <v>8</v>
      </c>
      <c r="I22">
        <f t="shared" si="16"/>
        <v>8</v>
      </c>
      <c r="J22">
        <f t="shared" ref="J22:K22" si="18">COUNT($B2:$B13)</f>
        <v>8</v>
      </c>
      <c r="K22">
        <f t="shared" si="18"/>
        <v>8</v>
      </c>
      <c r="L22">
        <f t="shared" ref="L22:N22" si="19">COUNT($B2:$B13)</f>
        <v>8</v>
      </c>
      <c r="M22">
        <f t="shared" si="19"/>
        <v>8</v>
      </c>
      <c r="N22">
        <f t="shared" si="19"/>
        <v>8</v>
      </c>
    </row>
    <row r="23" spans="1:14" x14ac:dyDescent="0.2">
      <c r="A23" t="s">
        <v>34</v>
      </c>
      <c r="C23">
        <f t="shared" ref="C23:N23" si="20">C22-2</f>
        <v>6</v>
      </c>
      <c r="D23">
        <f t="shared" si="20"/>
        <v>6</v>
      </c>
      <c r="E23">
        <f t="shared" si="20"/>
        <v>6</v>
      </c>
      <c r="F23">
        <f t="shared" si="20"/>
        <v>6</v>
      </c>
      <c r="G23">
        <f t="shared" si="20"/>
        <v>6</v>
      </c>
      <c r="H23">
        <f t="shared" si="20"/>
        <v>6</v>
      </c>
      <c r="I23">
        <f t="shared" si="20"/>
        <v>6</v>
      </c>
      <c r="J23">
        <f t="shared" si="20"/>
        <v>6</v>
      </c>
      <c r="K23">
        <f t="shared" si="20"/>
        <v>6</v>
      </c>
      <c r="L23">
        <f t="shared" si="20"/>
        <v>6</v>
      </c>
      <c r="M23">
        <f t="shared" si="20"/>
        <v>6</v>
      </c>
      <c r="N23">
        <f t="shared" si="20"/>
        <v>6</v>
      </c>
    </row>
    <row r="24" spans="1:14" x14ac:dyDescent="0.2">
      <c r="A24" t="s">
        <v>35</v>
      </c>
      <c r="C24" s="2">
        <f t="shared" ref="C24:N24" si="21">SLOPE(C2:C13,$B2:$B13)/(STEYX(C2:C13,$B2:$B13)/SQRT(DEVSQ($B2:$B13)))</f>
        <v>0.57162985942855504</v>
      </c>
      <c r="D24" s="2">
        <f t="shared" si="21"/>
        <v>4.2619549897590647E-2</v>
      </c>
      <c r="E24" s="2">
        <f t="shared" si="21"/>
        <v>-1.1427807515931923</v>
      </c>
      <c r="F24" s="2">
        <f t="shared" si="21"/>
        <v>-0.54248143513341895</v>
      </c>
      <c r="G24" s="2">
        <f t="shared" si="21"/>
        <v>-1.1249930124422227</v>
      </c>
      <c r="H24" s="2">
        <f t="shared" si="21"/>
        <v>0.62876178525932414</v>
      </c>
      <c r="I24" s="2">
        <f t="shared" si="21"/>
        <v>0.42639183450334972</v>
      </c>
      <c r="J24" s="2">
        <f t="shared" si="21"/>
        <v>0.25234481203608217</v>
      </c>
      <c r="K24" s="2">
        <f t="shared" si="21"/>
        <v>2.515549872096642</v>
      </c>
      <c r="L24" s="2">
        <f t="shared" si="21"/>
        <v>-1.6970676154147146</v>
      </c>
      <c r="M24" s="2">
        <f t="shared" si="21"/>
        <v>-0.33014271097599918</v>
      </c>
      <c r="N24" s="2">
        <f t="shared" si="21"/>
        <v>0.46020588099710308</v>
      </c>
    </row>
    <row r="25" spans="1:14" x14ac:dyDescent="0.2">
      <c r="A25" t="s">
        <v>29</v>
      </c>
      <c r="C25" s="2">
        <f t="shared" ref="C25:N25" si="22">_xlfn.T.DIST.2T(ABS(C24), C23)</f>
        <v>0.58833076864908096</v>
      </c>
      <c r="D25" s="2">
        <f t="shared" si="22"/>
        <v>0.96738772084659752</v>
      </c>
      <c r="E25" s="2">
        <f t="shared" si="22"/>
        <v>0.29667083401381183</v>
      </c>
      <c r="F25" s="2">
        <f t="shared" si="22"/>
        <v>0.60703254793902683</v>
      </c>
      <c r="G25" s="2">
        <f t="shared" si="22"/>
        <v>0.30357211368826398</v>
      </c>
      <c r="H25" s="2">
        <f t="shared" si="22"/>
        <v>0.55267367506932952</v>
      </c>
      <c r="I25" s="2">
        <f t="shared" si="22"/>
        <v>0.68469623290059067</v>
      </c>
      <c r="J25" s="2">
        <f t="shared" si="22"/>
        <v>0.8091966309107943</v>
      </c>
      <c r="K25" s="2">
        <f t="shared" si="22"/>
        <v>4.5560197528281249E-2</v>
      </c>
      <c r="L25" s="2">
        <f t="shared" si="22"/>
        <v>0.14060768590187078</v>
      </c>
      <c r="M25" s="2">
        <f t="shared" si="22"/>
        <v>0.75251466398880229</v>
      </c>
      <c r="N25" s="2">
        <f t="shared" si="22"/>
        <v>0.66157454825195305</v>
      </c>
    </row>
    <row r="26" spans="1:14" ht="19" x14ac:dyDescent="0.25">
      <c r="A26" t="s">
        <v>89</v>
      </c>
      <c r="B26" s="7">
        <f>MAX(B2:B12)-MIN(B2:B12)</f>
        <v>0.69489207507820883</v>
      </c>
    </row>
  </sheetData>
  <conditionalFormatting sqref="C25:N25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4846-7B30-E948-A94A-5D08C352B9A4}">
  <dimension ref="A1:D24"/>
  <sheetViews>
    <sheetView workbookViewId="0">
      <selection activeCell="H27" sqref="H27"/>
    </sheetView>
  </sheetViews>
  <sheetFormatPr baseColWidth="10" defaultRowHeight="16" x14ac:dyDescent="0.2"/>
  <sheetData>
    <row r="1" spans="1:4" x14ac:dyDescent="0.2">
      <c r="A1" t="s">
        <v>8</v>
      </c>
      <c r="B1" t="s">
        <v>40</v>
      </c>
      <c r="D1" t="s">
        <v>39</v>
      </c>
    </row>
    <row r="2" spans="1:4" x14ac:dyDescent="0.2">
      <c r="A2" t="s">
        <v>10</v>
      </c>
      <c r="B2">
        <v>0.54</v>
      </c>
    </row>
    <row r="3" spans="1:4" x14ac:dyDescent="0.2">
      <c r="A3" t="s">
        <v>1</v>
      </c>
      <c r="B3">
        <v>0.36</v>
      </c>
    </row>
    <row r="4" spans="1:4" x14ac:dyDescent="0.2">
      <c r="A4" t="s">
        <v>11</v>
      </c>
      <c r="B4">
        <v>0.51</v>
      </c>
    </row>
    <row r="5" spans="1:4" x14ac:dyDescent="0.2">
      <c r="A5" t="s">
        <v>12</v>
      </c>
      <c r="B5">
        <v>0.35</v>
      </c>
    </row>
    <row r="6" spans="1:4" x14ac:dyDescent="0.2">
      <c r="A6" t="s">
        <v>4</v>
      </c>
      <c r="B6">
        <v>0.51</v>
      </c>
    </row>
    <row r="7" spans="1:4" x14ac:dyDescent="0.2">
      <c r="A7" t="s">
        <v>13</v>
      </c>
      <c r="B7">
        <v>0.51</v>
      </c>
    </row>
    <row r="8" spans="1:4" x14ac:dyDescent="0.2">
      <c r="A8" t="s">
        <v>14</v>
      </c>
      <c r="B8">
        <v>0.46</v>
      </c>
    </row>
    <row r="9" spans="1:4" x14ac:dyDescent="0.2">
      <c r="A9" t="s">
        <v>15</v>
      </c>
      <c r="B9">
        <v>0.44</v>
      </c>
    </row>
    <row r="10" spans="1:4" x14ac:dyDescent="0.2">
      <c r="A10" t="s">
        <v>5</v>
      </c>
      <c r="B10">
        <v>0.5</v>
      </c>
    </row>
    <row r="11" spans="1:4" x14ac:dyDescent="0.2">
      <c r="A11" t="s">
        <v>2</v>
      </c>
      <c r="B11">
        <v>0.39</v>
      </c>
    </row>
    <row r="12" spans="1:4" x14ac:dyDescent="0.2">
      <c r="A12" t="s">
        <v>0</v>
      </c>
      <c r="B12">
        <v>0.49</v>
      </c>
    </row>
    <row r="13" spans="1:4" x14ac:dyDescent="0.2">
      <c r="A13" t="s">
        <v>16</v>
      </c>
      <c r="B13">
        <v>0.32</v>
      </c>
    </row>
    <row r="14" spans="1:4" x14ac:dyDescent="0.2">
      <c r="A14" t="s">
        <v>17</v>
      </c>
      <c r="B14">
        <v>0.3</v>
      </c>
    </row>
    <row r="15" spans="1:4" x14ac:dyDescent="0.2">
      <c r="A15" t="s">
        <v>18</v>
      </c>
      <c r="B15">
        <v>0.46</v>
      </c>
    </row>
    <row r="16" spans="1:4" x14ac:dyDescent="0.2">
      <c r="A16" t="s">
        <v>19</v>
      </c>
      <c r="B16">
        <v>0.37</v>
      </c>
    </row>
    <row r="17" spans="1:2" x14ac:dyDescent="0.2">
      <c r="A17" t="s">
        <v>6</v>
      </c>
      <c r="B17">
        <v>0.47</v>
      </c>
    </row>
    <row r="18" spans="1:2" x14ac:dyDescent="0.2">
      <c r="A18" t="s">
        <v>20</v>
      </c>
      <c r="B18">
        <v>0.53</v>
      </c>
    </row>
    <row r="19" spans="1:2" x14ac:dyDescent="0.2">
      <c r="A19" t="s">
        <v>3</v>
      </c>
      <c r="B19">
        <v>0.31</v>
      </c>
    </row>
    <row r="20" spans="1:2" x14ac:dyDescent="0.2">
      <c r="A20" t="s">
        <v>21</v>
      </c>
      <c r="B20">
        <v>0.42</v>
      </c>
    </row>
    <row r="21" spans="1:2" x14ac:dyDescent="0.2">
      <c r="A21" t="s">
        <v>22</v>
      </c>
      <c r="B21">
        <v>0.31</v>
      </c>
    </row>
    <row r="23" spans="1:2" x14ac:dyDescent="0.2">
      <c r="A23" t="s">
        <v>26</v>
      </c>
      <c r="B23" s="2">
        <f>AVERAGE(B2:B21)</f>
        <v>0.42750000000000005</v>
      </c>
    </row>
    <row r="24" spans="1:2" x14ac:dyDescent="0.2">
      <c r="A24" t="s">
        <v>27</v>
      </c>
      <c r="B24" s="2">
        <f>STDEV(B2:B21)</f>
        <v>8.1941892120028836E-2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E0B6-456C-2C40-B32D-014448F20110}">
  <dimension ref="A1:D24"/>
  <sheetViews>
    <sheetView workbookViewId="0">
      <selection activeCell="D16" sqref="D16"/>
    </sheetView>
  </sheetViews>
  <sheetFormatPr baseColWidth="10" defaultRowHeight="16" x14ac:dyDescent="0.2"/>
  <sheetData>
    <row r="1" spans="1:4" x14ac:dyDescent="0.2">
      <c r="A1" t="s">
        <v>8</v>
      </c>
      <c r="B1" t="s">
        <v>9</v>
      </c>
    </row>
    <row r="2" spans="1:4" x14ac:dyDescent="0.2">
      <c r="A2" t="s">
        <v>10</v>
      </c>
      <c r="B2">
        <v>60.1</v>
      </c>
    </row>
    <row r="3" spans="1:4" x14ac:dyDescent="0.2">
      <c r="A3" t="s">
        <v>1</v>
      </c>
      <c r="B3">
        <v>88.6</v>
      </c>
    </row>
    <row r="4" spans="1:4" x14ac:dyDescent="0.2">
      <c r="A4" t="s">
        <v>11</v>
      </c>
      <c r="B4">
        <v>89</v>
      </c>
    </row>
    <row r="5" spans="1:4" x14ac:dyDescent="0.2">
      <c r="A5" t="s">
        <v>12</v>
      </c>
      <c r="B5">
        <v>108.5</v>
      </c>
    </row>
    <row r="6" spans="1:4" x14ac:dyDescent="0.2">
      <c r="A6" t="s">
        <v>4</v>
      </c>
      <c r="B6">
        <v>111.1</v>
      </c>
    </row>
    <row r="7" spans="1:4" x14ac:dyDescent="0.2">
      <c r="A7" t="s">
        <v>13</v>
      </c>
      <c r="B7">
        <v>112.7</v>
      </c>
    </row>
    <row r="8" spans="1:4" x14ac:dyDescent="0.2">
      <c r="A8" t="s">
        <v>14</v>
      </c>
      <c r="B8">
        <v>114.1</v>
      </c>
    </row>
    <row r="9" spans="1:4" x14ac:dyDescent="0.2">
      <c r="A9" t="s">
        <v>15</v>
      </c>
      <c r="B9">
        <v>116.1</v>
      </c>
    </row>
    <row r="10" spans="1:4" x14ac:dyDescent="0.2">
      <c r="A10" t="s">
        <v>5</v>
      </c>
      <c r="B10">
        <v>138.4</v>
      </c>
    </row>
    <row r="11" spans="1:4" x14ac:dyDescent="0.2">
      <c r="A11" t="s">
        <v>2</v>
      </c>
      <c r="B11">
        <v>140</v>
      </c>
    </row>
    <row r="12" spans="1:4" x14ac:dyDescent="0.2">
      <c r="A12" t="s">
        <v>0</v>
      </c>
      <c r="B12">
        <v>143.80000000000001</v>
      </c>
    </row>
    <row r="13" spans="1:4" x14ac:dyDescent="0.2">
      <c r="A13" t="s">
        <v>16</v>
      </c>
      <c r="B13">
        <v>153.19999999999999</v>
      </c>
      <c r="D13" t="s">
        <v>48</v>
      </c>
    </row>
    <row r="14" spans="1:4" x14ac:dyDescent="0.2">
      <c r="A14" t="s">
        <v>17</v>
      </c>
      <c r="B14">
        <v>162.9</v>
      </c>
      <c r="D14" t="s">
        <v>49</v>
      </c>
    </row>
    <row r="15" spans="1:4" x14ac:dyDescent="0.2">
      <c r="A15" t="s">
        <v>18</v>
      </c>
      <c r="B15">
        <v>166.7</v>
      </c>
    </row>
    <row r="16" spans="1:4" x14ac:dyDescent="0.2">
      <c r="A16" t="s">
        <v>19</v>
      </c>
      <c r="B16">
        <v>166.7</v>
      </c>
    </row>
    <row r="17" spans="1:2" x14ac:dyDescent="0.2">
      <c r="A17" t="s">
        <v>6</v>
      </c>
      <c r="B17">
        <v>168.6</v>
      </c>
    </row>
    <row r="18" spans="1:2" x14ac:dyDescent="0.2">
      <c r="A18" t="s">
        <v>20</v>
      </c>
      <c r="B18">
        <v>173.4</v>
      </c>
    </row>
    <row r="19" spans="1:2" x14ac:dyDescent="0.2">
      <c r="A19" t="s">
        <v>3</v>
      </c>
      <c r="B19">
        <v>189.9</v>
      </c>
    </row>
    <row r="20" spans="1:2" x14ac:dyDescent="0.2">
      <c r="A20" t="s">
        <v>21</v>
      </c>
      <c r="B20">
        <v>193.6</v>
      </c>
    </row>
    <row r="21" spans="1:2" x14ac:dyDescent="0.2">
      <c r="A21" t="s">
        <v>22</v>
      </c>
      <c r="B21">
        <v>227.8</v>
      </c>
    </row>
    <row r="23" spans="1:2" x14ac:dyDescent="0.2">
      <c r="A23" t="s">
        <v>26</v>
      </c>
      <c r="B23" s="2">
        <f>AVERAGE(B2:B21)</f>
        <v>141.26000000000002</v>
      </c>
    </row>
    <row r="24" spans="1:2" x14ac:dyDescent="0.2">
      <c r="A24" t="s">
        <v>27</v>
      </c>
      <c r="B24" s="2">
        <f>STDEV(B2:B21)</f>
        <v>41.394601732974486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037F-6D22-5F42-96AB-A549B78B12E3}">
  <dimension ref="A1:E24"/>
  <sheetViews>
    <sheetView zoomScale="150" zoomScaleNormal="150" workbookViewId="0">
      <selection activeCell="D12" sqref="D12"/>
    </sheetView>
  </sheetViews>
  <sheetFormatPr baseColWidth="10" defaultRowHeight="16" x14ac:dyDescent="0.2"/>
  <sheetData>
    <row r="1" spans="1:5" x14ac:dyDescent="0.2">
      <c r="A1" t="s">
        <v>8</v>
      </c>
      <c r="B1" t="s">
        <v>23</v>
      </c>
    </row>
    <row r="2" spans="1:5" x14ac:dyDescent="0.2">
      <c r="A2" t="s">
        <v>10</v>
      </c>
      <c r="B2">
        <v>-0.4</v>
      </c>
      <c r="E2" t="s">
        <v>24</v>
      </c>
    </row>
    <row r="3" spans="1:5" x14ac:dyDescent="0.2">
      <c r="A3" t="s">
        <v>1</v>
      </c>
      <c r="B3">
        <v>1.8</v>
      </c>
    </row>
    <row r="4" spans="1:5" x14ac:dyDescent="0.2">
      <c r="A4" t="s">
        <v>11</v>
      </c>
      <c r="B4">
        <v>-0.8</v>
      </c>
    </row>
    <row r="5" spans="1:5" x14ac:dyDescent="0.2">
      <c r="A5" t="s">
        <v>12</v>
      </c>
      <c r="B5">
        <v>2.5</v>
      </c>
    </row>
    <row r="6" spans="1:5" x14ac:dyDescent="0.2">
      <c r="A6" t="s">
        <v>4</v>
      </c>
      <c r="B6">
        <v>-3.5</v>
      </c>
    </row>
    <row r="7" spans="1:5" x14ac:dyDescent="0.2">
      <c r="A7" t="s">
        <v>13</v>
      </c>
      <c r="B7">
        <v>-1.6</v>
      </c>
    </row>
    <row r="8" spans="1:5" x14ac:dyDescent="0.2">
      <c r="A8" t="s">
        <v>14</v>
      </c>
      <c r="B8">
        <v>-3.2</v>
      </c>
    </row>
    <row r="9" spans="1:5" x14ac:dyDescent="0.2">
      <c r="A9" t="s">
        <v>15</v>
      </c>
      <c r="B9">
        <v>-0.7</v>
      </c>
    </row>
    <row r="10" spans="1:5" x14ac:dyDescent="0.2">
      <c r="A10" t="s">
        <v>5</v>
      </c>
      <c r="B10">
        <v>-3.5</v>
      </c>
    </row>
    <row r="11" spans="1:5" x14ac:dyDescent="0.2">
      <c r="A11" t="s">
        <v>2</v>
      </c>
      <c r="B11">
        <v>4.2</v>
      </c>
    </row>
    <row r="12" spans="1:5" x14ac:dyDescent="0.2">
      <c r="A12" t="s">
        <v>0</v>
      </c>
      <c r="B12">
        <v>-3.5</v>
      </c>
      <c r="D12" s="5" t="s">
        <v>91</v>
      </c>
    </row>
    <row r="13" spans="1:5" x14ac:dyDescent="0.2">
      <c r="A13" t="s">
        <v>16</v>
      </c>
      <c r="B13">
        <v>-3.2</v>
      </c>
    </row>
    <row r="14" spans="1:5" x14ac:dyDescent="0.2">
      <c r="A14" t="s">
        <v>17</v>
      </c>
      <c r="B14">
        <v>1.9</v>
      </c>
      <c r="D14" s="5" t="s">
        <v>90</v>
      </c>
    </row>
    <row r="15" spans="1:5" x14ac:dyDescent="0.2">
      <c r="A15" t="s">
        <v>18</v>
      </c>
      <c r="B15">
        <v>4.5</v>
      </c>
    </row>
    <row r="16" spans="1:5" x14ac:dyDescent="0.2">
      <c r="A16" t="s">
        <v>19</v>
      </c>
      <c r="B16">
        <v>3.8</v>
      </c>
    </row>
    <row r="17" spans="1:2" x14ac:dyDescent="0.2">
      <c r="A17" t="s">
        <v>6</v>
      </c>
      <c r="B17">
        <v>-3.9</v>
      </c>
    </row>
    <row r="18" spans="1:2" x14ac:dyDescent="0.2">
      <c r="A18" t="s">
        <v>20</v>
      </c>
      <c r="B18">
        <v>-4.5</v>
      </c>
    </row>
    <row r="19" spans="1:2" x14ac:dyDescent="0.2">
      <c r="A19" t="s">
        <v>3</v>
      </c>
      <c r="B19">
        <v>2.8</v>
      </c>
    </row>
    <row r="20" spans="1:2" x14ac:dyDescent="0.2">
      <c r="A20" t="s">
        <v>21</v>
      </c>
      <c r="B20">
        <v>-1.3</v>
      </c>
    </row>
    <row r="21" spans="1:2" x14ac:dyDescent="0.2">
      <c r="A21" t="s">
        <v>22</v>
      </c>
      <c r="B21">
        <v>-0.9</v>
      </c>
    </row>
    <row r="23" spans="1:2" x14ac:dyDescent="0.2">
      <c r="A23" t="s">
        <v>26</v>
      </c>
      <c r="B23" s="2">
        <f>AVERAGE(B2:B21)</f>
        <v>-0.47500000000000009</v>
      </c>
    </row>
    <row r="24" spans="1:2" x14ac:dyDescent="0.2">
      <c r="A24" t="s">
        <v>27</v>
      </c>
      <c r="B24" s="2">
        <f>STDEV(B2:B21)</f>
        <v>2.9717751207689069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F317-2BCB-6648-B440-42028803AD08}">
  <dimension ref="A1:B24"/>
  <sheetViews>
    <sheetView zoomScale="150" zoomScaleNormal="150" workbookViewId="0">
      <selection activeCell="B15" sqref="B15"/>
    </sheetView>
  </sheetViews>
  <sheetFormatPr baseColWidth="10" defaultRowHeight="16" x14ac:dyDescent="0.2"/>
  <sheetData>
    <row r="1" spans="1:2" x14ac:dyDescent="0.2">
      <c r="A1" t="s">
        <v>8</v>
      </c>
      <c r="B1" t="s">
        <v>41</v>
      </c>
    </row>
    <row r="2" spans="1:2" x14ac:dyDescent="0.2">
      <c r="A2" t="s">
        <v>10</v>
      </c>
      <c r="B2" s="4">
        <v>12.3</v>
      </c>
    </row>
    <row r="3" spans="1:2" x14ac:dyDescent="0.2">
      <c r="A3" t="s">
        <v>1</v>
      </c>
      <c r="B3" s="4">
        <v>8.1</v>
      </c>
    </row>
    <row r="4" spans="1:2" x14ac:dyDescent="0.2">
      <c r="A4" t="s">
        <v>11</v>
      </c>
      <c r="B4" s="4">
        <v>9.1999999999999993</v>
      </c>
    </row>
    <row r="5" spans="1:2" x14ac:dyDescent="0.2">
      <c r="A5" t="s">
        <v>12</v>
      </c>
      <c r="B5" s="4">
        <v>5.5</v>
      </c>
    </row>
    <row r="6" spans="1:2" x14ac:dyDescent="0.2">
      <c r="A6" t="s">
        <v>4</v>
      </c>
      <c r="B6" s="4">
        <v>13</v>
      </c>
    </row>
    <row r="7" spans="1:2" x14ac:dyDescent="0.2">
      <c r="A7" t="s">
        <v>13</v>
      </c>
      <c r="B7" s="4">
        <v>8</v>
      </c>
    </row>
    <row r="8" spans="1:2" x14ac:dyDescent="0.2">
      <c r="A8" t="s">
        <v>14</v>
      </c>
      <c r="B8" s="4">
        <v>11.6</v>
      </c>
    </row>
    <row r="9" spans="1:2" x14ac:dyDescent="0.2">
      <c r="A9" t="s">
        <v>15</v>
      </c>
      <c r="B9" s="4">
        <v>8.6</v>
      </c>
    </row>
    <row r="10" spans="1:2" x14ac:dyDescent="0.2">
      <c r="A10" t="s">
        <v>5</v>
      </c>
      <c r="B10" s="4">
        <v>12.3</v>
      </c>
    </row>
    <row r="11" spans="1:2" x14ac:dyDescent="0.2">
      <c r="A11" t="s">
        <v>2</v>
      </c>
      <c r="B11" s="4">
        <v>5.9</v>
      </c>
    </row>
    <row r="12" spans="1:2" x14ac:dyDescent="0.2">
      <c r="A12" t="s">
        <v>0</v>
      </c>
      <c r="B12" s="4">
        <v>10.5</v>
      </c>
    </row>
    <row r="13" spans="1:2" x14ac:dyDescent="0.2">
      <c r="A13" t="s">
        <v>16</v>
      </c>
      <c r="B13" s="4">
        <v>10.4</v>
      </c>
    </row>
    <row r="14" spans="1:2" x14ac:dyDescent="0.2">
      <c r="A14" t="s">
        <v>17</v>
      </c>
      <c r="B14" s="4">
        <v>5.7</v>
      </c>
    </row>
    <row r="15" spans="1:2" x14ac:dyDescent="0.2">
      <c r="A15" t="s">
        <v>18</v>
      </c>
      <c r="B15" s="4">
        <v>5.2</v>
      </c>
    </row>
    <row r="16" spans="1:2" x14ac:dyDescent="0.2">
      <c r="A16" t="s">
        <v>19</v>
      </c>
      <c r="B16" s="4">
        <v>4.9000000000000004</v>
      </c>
    </row>
    <row r="17" spans="1:2" x14ac:dyDescent="0.2">
      <c r="A17" t="s">
        <v>6</v>
      </c>
      <c r="B17" s="4">
        <v>11.3</v>
      </c>
    </row>
    <row r="18" spans="1:2" x14ac:dyDescent="0.2">
      <c r="A18" t="s">
        <v>20</v>
      </c>
      <c r="B18" s="4">
        <v>10.5</v>
      </c>
    </row>
    <row r="19" spans="1:2" x14ac:dyDescent="0.2">
      <c r="A19" t="s">
        <v>3</v>
      </c>
      <c r="B19" s="4">
        <v>5.2</v>
      </c>
    </row>
    <row r="20" spans="1:2" x14ac:dyDescent="0.2">
      <c r="A20" t="s">
        <v>21</v>
      </c>
      <c r="B20" s="4">
        <v>6.2</v>
      </c>
    </row>
    <row r="21" spans="1:2" x14ac:dyDescent="0.2">
      <c r="A21" t="s">
        <v>22</v>
      </c>
      <c r="B21" s="4">
        <v>5.4</v>
      </c>
    </row>
    <row r="23" spans="1:2" x14ac:dyDescent="0.2">
      <c r="A23" t="s">
        <v>26</v>
      </c>
      <c r="B23" s="2">
        <f>AVERAGE(B2:B21)</f>
        <v>8.4899999999999984</v>
      </c>
    </row>
    <row r="24" spans="1:2" x14ac:dyDescent="0.2">
      <c r="A24" t="s">
        <v>27</v>
      </c>
      <c r="B24" s="2">
        <f>STDEV(B2:B21)</f>
        <v>2.8315701428155071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9AF6-04B2-BE4A-A538-9FAD0773B5A8}">
  <dimension ref="A1:B24"/>
  <sheetViews>
    <sheetView workbookViewId="0">
      <selection activeCell="C23" sqref="C23"/>
    </sheetView>
  </sheetViews>
  <sheetFormatPr baseColWidth="10" defaultRowHeight="16" x14ac:dyDescent="0.2"/>
  <sheetData>
    <row r="1" spans="1:2" x14ac:dyDescent="0.2">
      <c r="A1" t="s">
        <v>8</v>
      </c>
      <c r="B1" t="s">
        <v>42</v>
      </c>
    </row>
    <row r="2" spans="1:2" x14ac:dyDescent="0.2">
      <c r="A2" t="s">
        <v>10</v>
      </c>
      <c r="B2" s="2">
        <v>0.51</v>
      </c>
    </row>
    <row r="3" spans="1:2" x14ac:dyDescent="0.2">
      <c r="A3" t="s">
        <v>1</v>
      </c>
      <c r="B3" s="2">
        <v>1.4890000000000001</v>
      </c>
    </row>
    <row r="4" spans="1:2" x14ac:dyDescent="0.2">
      <c r="A4" t="s">
        <v>11</v>
      </c>
      <c r="B4" s="2">
        <v>0.73899999999999999</v>
      </c>
    </row>
    <row r="5" spans="1:2" x14ac:dyDescent="0.2">
      <c r="A5" t="s">
        <v>12</v>
      </c>
      <c r="B5" s="2">
        <v>0.96599999999999997</v>
      </c>
    </row>
    <row r="6" spans="1:2" x14ac:dyDescent="0.2">
      <c r="A6" t="s">
        <v>4</v>
      </c>
      <c r="B6" s="2">
        <v>0.92400000000000004</v>
      </c>
    </row>
    <row r="7" spans="1:2" x14ac:dyDescent="0.2">
      <c r="A7" t="s">
        <v>13</v>
      </c>
      <c r="B7" s="2">
        <v>0.49199999999999999</v>
      </c>
    </row>
    <row r="8" spans="1:2" x14ac:dyDescent="0.2">
      <c r="A8" t="s">
        <v>14</v>
      </c>
      <c r="B8" s="2">
        <v>0.77200000000000002</v>
      </c>
    </row>
    <row r="9" spans="1:2" x14ac:dyDescent="0.2">
      <c r="A9" t="s">
        <v>15</v>
      </c>
      <c r="B9" s="2">
        <v>0.78500000000000003</v>
      </c>
    </row>
    <row r="10" spans="1:2" x14ac:dyDescent="0.2">
      <c r="A10" t="s">
        <v>5</v>
      </c>
      <c r="B10" s="2">
        <v>1.504</v>
      </c>
    </row>
    <row r="11" spans="1:2" x14ac:dyDescent="0.2">
      <c r="A11" t="s">
        <v>2</v>
      </c>
      <c r="B11" s="2">
        <v>0.99</v>
      </c>
    </row>
    <row r="12" spans="1:2" x14ac:dyDescent="0.2">
      <c r="A12" t="s">
        <v>0</v>
      </c>
      <c r="B12" s="2">
        <v>1.1639999999999999</v>
      </c>
    </row>
    <row r="13" spans="1:2" x14ac:dyDescent="0.2">
      <c r="A13" t="s">
        <v>16</v>
      </c>
      <c r="B13" s="2">
        <v>1.0029999999999999</v>
      </c>
    </row>
    <row r="14" spans="1:2" x14ac:dyDescent="0.2">
      <c r="A14" t="s">
        <v>17</v>
      </c>
      <c r="B14" s="2">
        <v>1.363</v>
      </c>
    </row>
    <row r="15" spans="1:2" x14ac:dyDescent="0.2">
      <c r="A15" t="s">
        <v>18</v>
      </c>
      <c r="B15" s="2">
        <v>1.0029999999999999</v>
      </c>
    </row>
    <row r="16" spans="1:2" x14ac:dyDescent="0.2">
      <c r="A16" t="s">
        <v>19</v>
      </c>
      <c r="B16" s="2">
        <v>1.236</v>
      </c>
    </row>
    <row r="17" spans="1:2" x14ac:dyDescent="0.2">
      <c r="A17" t="s">
        <v>6</v>
      </c>
      <c r="B17" s="2">
        <v>1.1719999999999999</v>
      </c>
    </row>
    <row r="18" spans="1:2" x14ac:dyDescent="0.2">
      <c r="A18" t="s">
        <v>20</v>
      </c>
      <c r="B18" s="2">
        <v>1.224</v>
      </c>
    </row>
    <row r="19" spans="1:2" x14ac:dyDescent="0.2">
      <c r="A19" t="s">
        <v>3</v>
      </c>
      <c r="B19" s="2">
        <v>1.1950000000000001</v>
      </c>
    </row>
    <row r="20" spans="1:2" x14ac:dyDescent="0.2">
      <c r="A20" t="s">
        <v>21</v>
      </c>
      <c r="B20" s="2">
        <v>0.78700000000000003</v>
      </c>
    </row>
    <row r="21" spans="1:2" x14ac:dyDescent="0.2">
      <c r="A21" t="s">
        <v>22</v>
      </c>
      <c r="B21" s="2">
        <v>1.0900000000000001</v>
      </c>
    </row>
    <row r="23" spans="1:2" x14ac:dyDescent="0.2">
      <c r="A23" t="s">
        <v>26</v>
      </c>
      <c r="B23" s="2">
        <f>AVERAGE(B2:B21)</f>
        <v>1.0204</v>
      </c>
    </row>
    <row r="24" spans="1:2" x14ac:dyDescent="0.2">
      <c r="A24" t="s">
        <v>27</v>
      </c>
      <c r="B24" s="2">
        <f>STDEV(B2:B21)</f>
        <v>0.28487973455108129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B1EB-8EAC-B247-9FF6-10D0FECB3CB6}">
  <dimension ref="A1:B24"/>
  <sheetViews>
    <sheetView workbookViewId="0">
      <selection activeCell="B1" sqref="B1"/>
    </sheetView>
  </sheetViews>
  <sheetFormatPr baseColWidth="10" defaultRowHeight="16" x14ac:dyDescent="0.2"/>
  <sheetData>
    <row r="1" spans="1:2" x14ac:dyDescent="0.2">
      <c r="A1" t="s">
        <v>8</v>
      </c>
      <c r="B1" t="s">
        <v>44</v>
      </c>
    </row>
    <row r="2" spans="1:2" x14ac:dyDescent="0.2">
      <c r="A2" t="s">
        <v>10</v>
      </c>
      <c r="B2" s="1">
        <v>3.4</v>
      </c>
    </row>
    <row r="3" spans="1:2" x14ac:dyDescent="0.2">
      <c r="A3" t="s">
        <v>1</v>
      </c>
      <c r="B3" s="1">
        <v>11.5</v>
      </c>
    </row>
    <row r="4" spans="1:2" x14ac:dyDescent="0.2">
      <c r="A4" t="s">
        <v>11</v>
      </c>
      <c r="B4" s="1">
        <v>9.4700000000000006</v>
      </c>
    </row>
    <row r="5" spans="1:2" x14ac:dyDescent="0.2">
      <c r="A5" t="s">
        <v>12</v>
      </c>
      <c r="B5" s="1">
        <v>13.46</v>
      </c>
    </row>
    <row r="6" spans="1:2" x14ac:dyDescent="0.2">
      <c r="A6" t="s">
        <v>4</v>
      </c>
      <c r="B6" s="1">
        <v>11.68</v>
      </c>
    </row>
    <row r="7" spans="1:2" x14ac:dyDescent="0.2">
      <c r="A7" t="s">
        <v>13</v>
      </c>
      <c r="B7" s="1">
        <v>17.43</v>
      </c>
    </row>
    <row r="8" spans="1:2" x14ac:dyDescent="0.2">
      <c r="A8" t="s">
        <v>14</v>
      </c>
      <c r="B8" s="1">
        <v>12.82</v>
      </c>
    </row>
    <row r="9" spans="1:2" x14ac:dyDescent="0.2">
      <c r="A9" t="s">
        <v>15</v>
      </c>
      <c r="B9" s="1">
        <v>15.77</v>
      </c>
    </row>
    <row r="10" spans="1:2" x14ac:dyDescent="0.2">
      <c r="A10" t="s">
        <v>5</v>
      </c>
      <c r="B10" s="1">
        <v>13.57</v>
      </c>
    </row>
    <row r="11" spans="1:2" x14ac:dyDescent="0.2">
      <c r="A11" t="s">
        <v>2</v>
      </c>
      <c r="B11" s="1">
        <v>21.57</v>
      </c>
    </row>
    <row r="12" spans="1:2" x14ac:dyDescent="0.2">
      <c r="A12" t="s">
        <v>0</v>
      </c>
      <c r="B12" s="1">
        <v>14.45</v>
      </c>
    </row>
    <row r="13" spans="1:2" x14ac:dyDescent="0.2">
      <c r="A13" t="s">
        <v>16</v>
      </c>
      <c r="B13" s="1">
        <v>13.69</v>
      </c>
    </row>
    <row r="14" spans="1:2" x14ac:dyDescent="0.2">
      <c r="A14" t="s">
        <v>17</v>
      </c>
      <c r="B14" s="1">
        <v>16.25</v>
      </c>
    </row>
    <row r="15" spans="1:2" x14ac:dyDescent="0.2">
      <c r="A15" t="s">
        <v>18</v>
      </c>
      <c r="B15" s="1">
        <v>21.4</v>
      </c>
    </row>
    <row r="16" spans="1:2" x14ac:dyDescent="0.2">
      <c r="A16" t="s">
        <v>19</v>
      </c>
      <c r="B16" s="1">
        <v>21.4</v>
      </c>
    </row>
    <row r="17" spans="1:2" x14ac:dyDescent="0.2">
      <c r="A17" t="s">
        <v>6</v>
      </c>
      <c r="B17" s="1">
        <v>15.71</v>
      </c>
    </row>
    <row r="18" spans="1:2" x14ac:dyDescent="0.2">
      <c r="A18" t="s">
        <v>20</v>
      </c>
      <c r="B18" s="1">
        <v>14.28</v>
      </c>
    </row>
    <row r="19" spans="1:2" x14ac:dyDescent="0.2">
      <c r="A19" t="s">
        <v>3</v>
      </c>
      <c r="B19" s="1">
        <v>19.8</v>
      </c>
    </row>
    <row r="20" spans="1:2" x14ac:dyDescent="0.2">
      <c r="A20" t="s">
        <v>21</v>
      </c>
      <c r="B20" s="1">
        <v>18.03</v>
      </c>
    </row>
    <row r="21" spans="1:2" x14ac:dyDescent="0.2">
      <c r="A21" t="s">
        <v>22</v>
      </c>
      <c r="B21" s="1">
        <v>21.67</v>
      </c>
    </row>
    <row r="23" spans="1:2" x14ac:dyDescent="0.2">
      <c r="A23" t="s">
        <v>26</v>
      </c>
      <c r="B23" s="2">
        <f>AVERAGE(B2:B21)</f>
        <v>15.367499999999998</v>
      </c>
    </row>
    <row r="24" spans="1:2" x14ac:dyDescent="0.2">
      <c r="A24" t="s">
        <v>27</v>
      </c>
      <c r="B24" s="2">
        <f>STDEV(B2:B21)</f>
        <v>4.6327051038186564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E367-40FD-C949-8365-B6AFD6A266AF}">
  <dimension ref="A1:G24"/>
  <sheetViews>
    <sheetView workbookViewId="0">
      <selection activeCell="A2" sqref="A2:B21"/>
    </sheetView>
  </sheetViews>
  <sheetFormatPr baseColWidth="10" defaultRowHeight="16" x14ac:dyDescent="0.2"/>
  <sheetData>
    <row r="1" spans="1:7" x14ac:dyDescent="0.2">
      <c r="A1" t="s">
        <v>8</v>
      </c>
      <c r="B1" t="s">
        <v>72</v>
      </c>
    </row>
    <row r="2" spans="1:7" x14ac:dyDescent="0.2">
      <c r="A2" t="s">
        <v>10</v>
      </c>
      <c r="B2" s="6">
        <v>75</v>
      </c>
    </row>
    <row r="3" spans="1:7" x14ac:dyDescent="0.2">
      <c r="A3" t="s">
        <v>1</v>
      </c>
      <c r="B3" s="6">
        <v>115</v>
      </c>
    </row>
    <row r="4" spans="1:7" x14ac:dyDescent="0.2">
      <c r="A4" t="s">
        <v>11</v>
      </c>
      <c r="B4" s="6">
        <v>115</v>
      </c>
    </row>
    <row r="5" spans="1:7" x14ac:dyDescent="0.2">
      <c r="A5" t="s">
        <v>12</v>
      </c>
      <c r="B5" s="6">
        <v>135</v>
      </c>
      <c r="E5" s="5" t="s">
        <v>45</v>
      </c>
      <c r="F5" s="5" t="s">
        <v>46</v>
      </c>
      <c r="G5" t="s">
        <v>47</v>
      </c>
    </row>
    <row r="6" spans="1:7" x14ac:dyDescent="0.2">
      <c r="A6" t="s">
        <v>4</v>
      </c>
      <c r="B6" s="6">
        <v>150</v>
      </c>
    </row>
    <row r="7" spans="1:7" x14ac:dyDescent="0.2">
      <c r="A7" t="s">
        <v>13</v>
      </c>
      <c r="B7" s="6">
        <v>145</v>
      </c>
    </row>
    <row r="8" spans="1:7" x14ac:dyDescent="0.2">
      <c r="A8" t="s">
        <v>14</v>
      </c>
      <c r="B8" s="6">
        <v>160</v>
      </c>
    </row>
    <row r="9" spans="1:7" x14ac:dyDescent="0.2">
      <c r="A9" t="s">
        <v>15</v>
      </c>
      <c r="B9" s="6">
        <v>140</v>
      </c>
    </row>
    <row r="10" spans="1:7" x14ac:dyDescent="0.2">
      <c r="A10" t="s">
        <v>5</v>
      </c>
      <c r="B10" s="6">
        <v>190</v>
      </c>
    </row>
    <row r="11" spans="1:7" x14ac:dyDescent="0.2">
      <c r="A11" t="s">
        <v>2</v>
      </c>
      <c r="B11" s="6">
        <v>155</v>
      </c>
    </row>
    <row r="12" spans="1:7" x14ac:dyDescent="0.2">
      <c r="A12" t="s">
        <v>0</v>
      </c>
      <c r="B12" s="6">
        <v>180</v>
      </c>
    </row>
    <row r="13" spans="1:7" x14ac:dyDescent="0.2">
      <c r="A13" t="s">
        <v>16</v>
      </c>
      <c r="B13" s="6">
        <v>195</v>
      </c>
    </row>
    <row r="14" spans="1:7" x14ac:dyDescent="0.2">
      <c r="A14" t="s">
        <v>17</v>
      </c>
      <c r="B14" s="6">
        <v>185</v>
      </c>
    </row>
    <row r="15" spans="1:7" x14ac:dyDescent="0.2">
      <c r="A15" t="s">
        <v>18</v>
      </c>
      <c r="B15" s="6">
        <v>175</v>
      </c>
    </row>
    <row r="16" spans="1:7" x14ac:dyDescent="0.2">
      <c r="A16" t="s">
        <v>19</v>
      </c>
      <c r="B16" s="6">
        <v>170</v>
      </c>
    </row>
    <row r="17" spans="1:2" x14ac:dyDescent="0.2">
      <c r="A17" t="s">
        <v>6</v>
      </c>
      <c r="B17" s="6">
        <v>200</v>
      </c>
    </row>
    <row r="18" spans="1:2" x14ac:dyDescent="0.2">
      <c r="A18" t="s">
        <v>20</v>
      </c>
      <c r="B18" s="6">
        <v>225</v>
      </c>
    </row>
    <row r="19" spans="1:2" x14ac:dyDescent="0.2">
      <c r="A19" t="s">
        <v>3</v>
      </c>
      <c r="B19" s="6">
        <v>210</v>
      </c>
    </row>
    <row r="20" spans="1:2" x14ac:dyDescent="0.2">
      <c r="A20" t="s">
        <v>21</v>
      </c>
      <c r="B20" s="6">
        <v>230</v>
      </c>
    </row>
    <row r="21" spans="1:2" x14ac:dyDescent="0.2">
      <c r="A21" t="s">
        <v>22</v>
      </c>
      <c r="B21" s="6">
        <v>255</v>
      </c>
    </row>
    <row r="22" spans="1:2" x14ac:dyDescent="0.2">
      <c r="B22" s="6"/>
    </row>
    <row r="23" spans="1:2" x14ac:dyDescent="0.2">
      <c r="A23" t="s">
        <v>26</v>
      </c>
      <c r="B23" s="6">
        <f>AVERAGE(B2:B21)</f>
        <v>170.25</v>
      </c>
    </row>
    <row r="24" spans="1:2" x14ac:dyDescent="0.2">
      <c r="A24" t="s">
        <v>27</v>
      </c>
      <c r="B24" s="6">
        <f>STDEV(B2:B21)</f>
        <v>43.693760845710059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F1AB-6765-1B4B-A44F-E1FAB90AB5D0}">
  <dimension ref="A1:F24"/>
  <sheetViews>
    <sheetView workbookViewId="0">
      <selection activeCell="B23" sqref="B23"/>
    </sheetView>
  </sheetViews>
  <sheetFormatPr baseColWidth="10" defaultRowHeight="16" x14ac:dyDescent="0.2"/>
  <sheetData>
    <row r="1" spans="1:6" x14ac:dyDescent="0.2">
      <c r="A1" t="s">
        <v>8</v>
      </c>
      <c r="B1" t="s">
        <v>54</v>
      </c>
    </row>
    <row r="2" spans="1:6" x14ac:dyDescent="0.2">
      <c r="A2" t="s">
        <v>10</v>
      </c>
      <c r="B2" s="2">
        <v>0.65700000000000003</v>
      </c>
    </row>
    <row r="3" spans="1:6" x14ac:dyDescent="0.2">
      <c r="A3" t="s">
        <v>1</v>
      </c>
      <c r="B3" s="2">
        <v>0.70899999999999996</v>
      </c>
      <c r="E3" t="s">
        <v>51</v>
      </c>
    </row>
    <row r="4" spans="1:6" x14ac:dyDescent="0.2">
      <c r="A4" t="s">
        <v>11</v>
      </c>
      <c r="B4" s="2">
        <v>0.92800000000000005</v>
      </c>
      <c r="E4" t="s">
        <v>52</v>
      </c>
    </row>
    <row r="5" spans="1:6" x14ac:dyDescent="0.2">
      <c r="A5" t="s">
        <v>12</v>
      </c>
      <c r="B5" s="2">
        <v>1.1910000000000001</v>
      </c>
      <c r="F5" s="5"/>
    </row>
    <row r="6" spans="1:6" x14ac:dyDescent="0.2">
      <c r="A6" t="s">
        <v>4</v>
      </c>
      <c r="B6" s="2">
        <v>0.54100000000000004</v>
      </c>
      <c r="E6" s="5" t="s">
        <v>53</v>
      </c>
    </row>
    <row r="7" spans="1:6" x14ac:dyDescent="0.2">
      <c r="A7" t="s">
        <v>13</v>
      </c>
      <c r="B7" s="2">
        <v>0.35399999999999998</v>
      </c>
    </row>
    <row r="8" spans="1:6" x14ac:dyDescent="0.2">
      <c r="A8" t="s">
        <v>14</v>
      </c>
      <c r="B8" s="2">
        <v>0.60399999999999998</v>
      </c>
    </row>
    <row r="9" spans="1:6" x14ac:dyDescent="0.2">
      <c r="A9" t="s">
        <v>15</v>
      </c>
      <c r="B9" s="2">
        <v>1.2210000000000001</v>
      </c>
    </row>
    <row r="10" spans="1:6" x14ac:dyDescent="0.2">
      <c r="A10" t="s">
        <v>5</v>
      </c>
      <c r="B10" s="2">
        <v>0.56699999999999995</v>
      </c>
    </row>
    <row r="11" spans="1:6" x14ac:dyDescent="0.2">
      <c r="A11" t="s">
        <v>2</v>
      </c>
      <c r="B11" s="2">
        <v>1.9650000000000001</v>
      </c>
    </row>
    <row r="12" spans="1:6" x14ac:dyDescent="0.2">
      <c r="A12" t="s">
        <v>0</v>
      </c>
      <c r="B12" s="2">
        <v>0.84</v>
      </c>
    </row>
    <row r="13" spans="1:6" x14ac:dyDescent="0.2">
      <c r="A13" t="s">
        <v>16</v>
      </c>
      <c r="B13" s="2">
        <v>0.86299999999999999</v>
      </c>
    </row>
    <row r="14" spans="1:6" x14ac:dyDescent="0.2">
      <c r="A14" t="s">
        <v>17</v>
      </c>
      <c r="B14" s="2">
        <v>1.21</v>
      </c>
    </row>
    <row r="15" spans="1:6" x14ac:dyDescent="0.2">
      <c r="A15" t="s">
        <v>18</v>
      </c>
      <c r="B15" s="2">
        <v>1.7989999999999999</v>
      </c>
    </row>
    <row r="16" spans="1:6" x14ac:dyDescent="0.2">
      <c r="A16" t="s">
        <v>19</v>
      </c>
      <c r="B16" s="2">
        <v>1.2609999999999999</v>
      </c>
    </row>
    <row r="17" spans="1:2" x14ac:dyDescent="0.2">
      <c r="A17" t="s">
        <v>6</v>
      </c>
      <c r="B17" s="2">
        <v>0.72099999999999997</v>
      </c>
    </row>
    <row r="18" spans="1:2" x14ac:dyDescent="0.2">
      <c r="A18" t="s">
        <v>20</v>
      </c>
      <c r="B18" s="2">
        <v>0.92</v>
      </c>
    </row>
    <row r="19" spans="1:2" x14ac:dyDescent="0.2">
      <c r="A19" t="s">
        <v>3</v>
      </c>
      <c r="B19" s="2">
        <v>1.393</v>
      </c>
    </row>
    <row r="20" spans="1:2" x14ac:dyDescent="0.2">
      <c r="A20" t="s">
        <v>21</v>
      </c>
      <c r="B20" s="2">
        <v>1.266</v>
      </c>
    </row>
    <row r="21" spans="1:2" x14ac:dyDescent="0.2">
      <c r="A21" t="s">
        <v>22</v>
      </c>
      <c r="B21" s="2">
        <v>1.306</v>
      </c>
    </row>
    <row r="22" spans="1:2" x14ac:dyDescent="0.2">
      <c r="B22" s="2"/>
    </row>
    <row r="23" spans="1:2" x14ac:dyDescent="0.2">
      <c r="A23" t="s">
        <v>26</v>
      </c>
      <c r="B23" s="2">
        <f>AVERAGE(B2:B21)</f>
        <v>1.0158000000000003</v>
      </c>
    </row>
    <row r="24" spans="1:2" x14ac:dyDescent="0.2">
      <c r="A24" t="s">
        <v>27</v>
      </c>
      <c r="B24" s="2">
        <f>STDEV(B2:B21)</f>
        <v>0.42236447219009821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70F3-059C-EE4D-99E5-6EBF93FD36AA}">
  <dimension ref="A1:F24"/>
  <sheetViews>
    <sheetView topLeftCell="A2" workbookViewId="0">
      <selection activeCell="E25" sqref="E25"/>
    </sheetView>
  </sheetViews>
  <sheetFormatPr baseColWidth="10" defaultRowHeight="16" x14ac:dyDescent="0.2"/>
  <sheetData>
    <row r="1" spans="1:6" x14ac:dyDescent="0.2">
      <c r="A1" t="s">
        <v>8</v>
      </c>
      <c r="B1" t="s">
        <v>80</v>
      </c>
    </row>
    <row r="2" spans="1:6" x14ac:dyDescent="0.2">
      <c r="A2" t="s">
        <v>10</v>
      </c>
      <c r="B2" s="2">
        <v>1.86</v>
      </c>
    </row>
    <row r="3" spans="1:6" x14ac:dyDescent="0.2">
      <c r="A3" t="s">
        <v>1</v>
      </c>
      <c r="B3" s="2">
        <v>0.78800000000000003</v>
      </c>
      <c r="E3" t="s">
        <v>51</v>
      </c>
    </row>
    <row r="4" spans="1:6" x14ac:dyDescent="0.2">
      <c r="A4" t="s">
        <v>11</v>
      </c>
      <c r="B4" s="2">
        <v>1.3160000000000001</v>
      </c>
      <c r="E4" t="s">
        <v>52</v>
      </c>
    </row>
    <row r="5" spans="1:6" x14ac:dyDescent="0.2">
      <c r="A5" t="s">
        <v>12</v>
      </c>
      <c r="B5" s="2">
        <v>0.96499999999999997</v>
      </c>
      <c r="F5" s="5"/>
    </row>
    <row r="6" spans="1:6" x14ac:dyDescent="0.2">
      <c r="A6" t="s">
        <v>4</v>
      </c>
      <c r="B6" s="2">
        <v>1.1970000000000001</v>
      </c>
      <c r="E6" s="5" t="s">
        <v>53</v>
      </c>
    </row>
    <row r="7" spans="1:6" x14ac:dyDescent="0.2">
      <c r="A7" t="s">
        <v>13</v>
      </c>
      <c r="B7" s="2">
        <v>1.415</v>
      </c>
    </row>
    <row r="8" spans="1:6" x14ac:dyDescent="0.2">
      <c r="A8" t="s">
        <v>14</v>
      </c>
      <c r="B8" s="2">
        <v>1.5720000000000001</v>
      </c>
    </row>
    <row r="9" spans="1:6" x14ac:dyDescent="0.2">
      <c r="A9" t="s">
        <v>15</v>
      </c>
      <c r="B9" s="2">
        <v>0.73899999999999999</v>
      </c>
    </row>
    <row r="10" spans="1:6" x14ac:dyDescent="0.2">
      <c r="A10" t="s">
        <v>5</v>
      </c>
      <c r="B10" s="2">
        <v>1.149</v>
      </c>
    </row>
    <row r="11" spans="1:6" x14ac:dyDescent="0.2">
      <c r="A11" t="s">
        <v>2</v>
      </c>
      <c r="B11" s="2">
        <v>0.38700000000000001</v>
      </c>
    </row>
    <row r="12" spans="1:6" x14ac:dyDescent="0.2">
      <c r="A12" t="s">
        <v>0</v>
      </c>
      <c r="B12" s="2">
        <v>0.997</v>
      </c>
    </row>
    <row r="13" spans="1:6" x14ac:dyDescent="0.2">
      <c r="A13" t="s">
        <v>16</v>
      </c>
      <c r="B13" s="2">
        <v>0.97</v>
      </c>
    </row>
    <row r="14" spans="1:6" x14ac:dyDescent="0.2">
      <c r="A14" t="s">
        <v>17</v>
      </c>
      <c r="B14" s="2">
        <v>0.436</v>
      </c>
    </row>
    <row r="15" spans="1:6" x14ac:dyDescent="0.2">
      <c r="A15" t="s">
        <v>18</v>
      </c>
      <c r="B15" s="2">
        <v>0.24</v>
      </c>
    </row>
    <row r="16" spans="1:6" x14ac:dyDescent="0.2">
      <c r="A16" t="s">
        <v>19</v>
      </c>
      <c r="B16" s="2">
        <v>0.67</v>
      </c>
    </row>
    <row r="17" spans="1:2" x14ac:dyDescent="0.2">
      <c r="A17" t="s">
        <v>6</v>
      </c>
      <c r="B17" s="2">
        <v>1.302</v>
      </c>
    </row>
    <row r="18" spans="1:2" x14ac:dyDescent="0.2">
      <c r="A18" t="s">
        <v>20</v>
      </c>
      <c r="B18" s="2">
        <v>0.91200000000000003</v>
      </c>
    </row>
    <row r="19" spans="1:2" x14ac:dyDescent="0.2">
      <c r="A19" t="s">
        <v>3</v>
      </c>
      <c r="B19" s="2">
        <v>0.624</v>
      </c>
    </row>
    <row r="20" spans="1:2" x14ac:dyDescent="0.2">
      <c r="A20" t="s">
        <v>21</v>
      </c>
      <c r="B20" s="2">
        <v>0.79500000000000004</v>
      </c>
    </row>
    <row r="21" spans="1:2" x14ac:dyDescent="0.2">
      <c r="A21" t="s">
        <v>22</v>
      </c>
      <c r="B21" s="2">
        <v>0.54600000000000004</v>
      </c>
    </row>
    <row r="22" spans="1:2" x14ac:dyDescent="0.2">
      <c r="B22" s="2"/>
    </row>
    <row r="23" spans="1:2" x14ac:dyDescent="0.2">
      <c r="A23" t="s">
        <v>26</v>
      </c>
      <c r="B23" s="2">
        <f>AVERAGE(B2:B21)</f>
        <v>0.94400000000000017</v>
      </c>
    </row>
    <row r="24" spans="1:2" x14ac:dyDescent="0.2">
      <c r="A24" t="s">
        <v>27</v>
      </c>
      <c r="B24" s="2">
        <f>STDEV(B2:B21)</f>
        <v>0.41808989212218078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BAF5-7B8A-634A-8944-741135D3C014}">
  <dimension ref="A1:F24"/>
  <sheetViews>
    <sheetView workbookViewId="0">
      <selection activeCell="B22" sqref="B22"/>
    </sheetView>
  </sheetViews>
  <sheetFormatPr baseColWidth="10" defaultRowHeight="16" x14ac:dyDescent="0.2"/>
  <sheetData>
    <row r="1" spans="1:6" x14ac:dyDescent="0.2">
      <c r="A1" t="s">
        <v>8</v>
      </c>
      <c r="B1" t="s">
        <v>81</v>
      </c>
    </row>
    <row r="2" spans="1:6" x14ac:dyDescent="0.2">
      <c r="A2" t="s">
        <v>10</v>
      </c>
      <c r="B2" s="2">
        <v>1.2509999999999999</v>
      </c>
    </row>
    <row r="3" spans="1:6" x14ac:dyDescent="0.2">
      <c r="A3" t="s">
        <v>1</v>
      </c>
      <c r="B3" s="2">
        <v>0.82399999999999995</v>
      </c>
      <c r="E3" t="s">
        <v>51</v>
      </c>
    </row>
    <row r="4" spans="1:6" x14ac:dyDescent="0.2">
      <c r="A4" t="s">
        <v>11</v>
      </c>
      <c r="B4" s="2">
        <v>1.1299999999999999</v>
      </c>
      <c r="E4" t="s">
        <v>52</v>
      </c>
    </row>
    <row r="5" spans="1:6" x14ac:dyDescent="0.2">
      <c r="A5" t="s">
        <v>12</v>
      </c>
      <c r="B5" s="2">
        <v>0.95299999999999996</v>
      </c>
      <c r="F5" s="5"/>
    </row>
    <row r="6" spans="1:6" x14ac:dyDescent="0.2">
      <c r="A6" t="s">
        <v>4</v>
      </c>
      <c r="B6" s="2">
        <v>1.1970000000000001</v>
      </c>
      <c r="E6" s="5" t="s">
        <v>53</v>
      </c>
    </row>
    <row r="7" spans="1:6" x14ac:dyDescent="0.2">
      <c r="A7" t="s">
        <v>13</v>
      </c>
      <c r="B7" s="2">
        <v>1.54</v>
      </c>
    </row>
    <row r="8" spans="1:6" x14ac:dyDescent="0.2">
      <c r="A8" t="s">
        <v>14</v>
      </c>
      <c r="B8" s="2">
        <v>1.167</v>
      </c>
    </row>
    <row r="9" spans="1:6" x14ac:dyDescent="0.2">
      <c r="A9" t="s">
        <v>15</v>
      </c>
      <c r="B9" s="2">
        <v>1.1479999999999999</v>
      </c>
    </row>
    <row r="10" spans="1:6" x14ac:dyDescent="0.2">
      <c r="A10" t="s">
        <v>5</v>
      </c>
      <c r="B10" s="2">
        <v>0.76100000000000001</v>
      </c>
    </row>
    <row r="11" spans="1:6" x14ac:dyDescent="0.2">
      <c r="A11" t="s">
        <v>2</v>
      </c>
      <c r="B11" s="2">
        <v>0.77200000000000002</v>
      </c>
    </row>
    <row r="12" spans="1:6" x14ac:dyDescent="0.2">
      <c r="A12" t="s">
        <v>0</v>
      </c>
      <c r="B12" s="2">
        <v>0.94699999999999995</v>
      </c>
    </row>
    <row r="13" spans="1:6" x14ac:dyDescent="0.2">
      <c r="A13" t="s">
        <v>16</v>
      </c>
      <c r="B13" s="2">
        <v>1.0680000000000001</v>
      </c>
    </row>
    <row r="14" spans="1:6" x14ac:dyDescent="0.2">
      <c r="A14" t="s">
        <v>17</v>
      </c>
      <c r="B14" s="2">
        <v>0.81</v>
      </c>
    </row>
    <row r="15" spans="1:6" x14ac:dyDescent="0.2">
      <c r="A15" t="s">
        <v>18</v>
      </c>
      <c r="B15" s="2">
        <v>0.88600000000000001</v>
      </c>
    </row>
    <row r="16" spans="1:6" x14ac:dyDescent="0.2">
      <c r="A16" t="s">
        <v>19</v>
      </c>
      <c r="B16" s="2">
        <v>0.81</v>
      </c>
    </row>
    <row r="17" spans="1:2" x14ac:dyDescent="0.2">
      <c r="A17" t="s">
        <v>6</v>
      </c>
      <c r="B17" s="2">
        <v>0.89700000000000002</v>
      </c>
    </row>
    <row r="18" spans="1:2" x14ac:dyDescent="0.2">
      <c r="A18" t="s">
        <v>20</v>
      </c>
      <c r="B18" s="2">
        <v>0.89300000000000002</v>
      </c>
    </row>
    <row r="19" spans="1:2" x14ac:dyDescent="0.2">
      <c r="A19" t="s">
        <v>3</v>
      </c>
      <c r="B19" s="2">
        <v>0.79700000000000004</v>
      </c>
    </row>
    <row r="20" spans="1:2" x14ac:dyDescent="0.2">
      <c r="A20" t="s">
        <v>21</v>
      </c>
      <c r="B20" s="2">
        <v>1.109</v>
      </c>
    </row>
    <row r="21" spans="1:2" x14ac:dyDescent="0.2">
      <c r="A21" t="s">
        <v>22</v>
      </c>
      <c r="B21" s="2">
        <v>0.94099999999999995</v>
      </c>
    </row>
    <row r="22" spans="1:2" x14ac:dyDescent="0.2">
      <c r="B22" s="2"/>
    </row>
    <row r="23" spans="1:2" x14ac:dyDescent="0.2">
      <c r="A23" t="s">
        <v>26</v>
      </c>
      <c r="B23" s="2">
        <f>AVERAGE(B2:B21)</f>
        <v>0.99504999999999999</v>
      </c>
    </row>
    <row r="24" spans="1:2" x14ac:dyDescent="0.2">
      <c r="A24" t="s">
        <v>27</v>
      </c>
      <c r="B24" s="2">
        <f>STDEV(B2:B21)</f>
        <v>0.20172427116970146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8BA1-AA09-A944-BA92-2B65F42FE403}">
  <dimension ref="A1:F24"/>
  <sheetViews>
    <sheetView workbookViewId="0">
      <selection activeCell="A2" sqref="A2:B21"/>
    </sheetView>
  </sheetViews>
  <sheetFormatPr baseColWidth="10" defaultRowHeight="16" x14ac:dyDescent="0.2"/>
  <sheetData>
    <row r="1" spans="1:6" x14ac:dyDescent="0.2">
      <c r="A1" t="s">
        <v>8</v>
      </c>
      <c r="B1" t="s">
        <v>70</v>
      </c>
    </row>
    <row r="2" spans="1:6" x14ac:dyDescent="0.2">
      <c r="A2" t="s">
        <v>10</v>
      </c>
      <c r="B2" s="1">
        <v>0</v>
      </c>
    </row>
    <row r="3" spans="1:6" x14ac:dyDescent="0.2">
      <c r="A3" t="s">
        <v>1</v>
      </c>
      <c r="B3" s="1">
        <v>0</v>
      </c>
      <c r="E3" t="s">
        <v>51</v>
      </c>
    </row>
    <row r="4" spans="1:6" x14ac:dyDescent="0.2">
      <c r="A4" t="s">
        <v>11</v>
      </c>
      <c r="B4" s="1">
        <v>1</v>
      </c>
    </row>
    <row r="5" spans="1:6" x14ac:dyDescent="0.2">
      <c r="A5" t="s">
        <v>12</v>
      </c>
      <c r="B5" s="1">
        <v>0</v>
      </c>
      <c r="F5" s="5"/>
    </row>
    <row r="6" spans="1:6" x14ac:dyDescent="0.2">
      <c r="A6" t="s">
        <v>4</v>
      </c>
      <c r="B6" s="1">
        <v>0</v>
      </c>
      <c r="E6" s="5" t="s">
        <v>68</v>
      </c>
    </row>
    <row r="7" spans="1:6" x14ac:dyDescent="0.2">
      <c r="A7" t="s">
        <v>13</v>
      </c>
      <c r="B7" s="1">
        <v>0</v>
      </c>
    </row>
    <row r="8" spans="1:6" x14ac:dyDescent="0.2">
      <c r="A8" t="s">
        <v>14</v>
      </c>
      <c r="B8" s="1">
        <v>2</v>
      </c>
    </row>
    <row r="9" spans="1:6" x14ac:dyDescent="0.2">
      <c r="A9" t="s">
        <v>15</v>
      </c>
      <c r="B9" s="1">
        <v>1</v>
      </c>
    </row>
    <row r="10" spans="1:6" x14ac:dyDescent="0.2">
      <c r="A10" t="s">
        <v>5</v>
      </c>
      <c r="B10" s="1">
        <v>0</v>
      </c>
    </row>
    <row r="11" spans="1:6" x14ac:dyDescent="0.2">
      <c r="A11" t="s">
        <v>2</v>
      </c>
      <c r="B11" s="1">
        <v>0</v>
      </c>
    </row>
    <row r="12" spans="1:6" x14ac:dyDescent="0.2">
      <c r="A12" t="s">
        <v>0</v>
      </c>
      <c r="B12" s="1">
        <v>2</v>
      </c>
    </row>
    <row r="13" spans="1:6" x14ac:dyDescent="0.2">
      <c r="A13" t="s">
        <v>16</v>
      </c>
      <c r="B13" s="1">
        <v>2</v>
      </c>
    </row>
    <row r="14" spans="1:6" x14ac:dyDescent="0.2">
      <c r="A14" t="s">
        <v>17</v>
      </c>
      <c r="B14" s="1">
        <v>0</v>
      </c>
    </row>
    <row r="15" spans="1:6" x14ac:dyDescent="0.2">
      <c r="A15" t="s">
        <v>18</v>
      </c>
      <c r="B15" s="1">
        <v>0</v>
      </c>
    </row>
    <row r="16" spans="1:6" x14ac:dyDescent="0.2">
      <c r="A16" t="s">
        <v>19</v>
      </c>
      <c r="B16" s="1">
        <v>0</v>
      </c>
    </row>
    <row r="17" spans="1:2" x14ac:dyDescent="0.2">
      <c r="A17" t="s">
        <v>6</v>
      </c>
      <c r="B17" s="1">
        <v>3</v>
      </c>
    </row>
    <row r="18" spans="1:2" x14ac:dyDescent="0.2">
      <c r="A18" t="s">
        <v>20</v>
      </c>
      <c r="B18" s="1">
        <v>5</v>
      </c>
    </row>
    <row r="19" spans="1:2" x14ac:dyDescent="0.2">
      <c r="A19" t="s">
        <v>3</v>
      </c>
      <c r="B19" s="1">
        <v>0</v>
      </c>
    </row>
    <row r="20" spans="1:2" x14ac:dyDescent="0.2">
      <c r="A20" t="s">
        <v>21</v>
      </c>
      <c r="B20" s="1">
        <v>1</v>
      </c>
    </row>
    <row r="21" spans="1:2" x14ac:dyDescent="0.2">
      <c r="A21" t="s">
        <v>22</v>
      </c>
      <c r="B21" s="1">
        <v>1</v>
      </c>
    </row>
    <row r="22" spans="1:2" x14ac:dyDescent="0.2">
      <c r="B22" s="2"/>
    </row>
    <row r="23" spans="1:2" x14ac:dyDescent="0.2">
      <c r="A23" t="s">
        <v>26</v>
      </c>
      <c r="B23" s="4">
        <f>AVERAGE(B2:B21)</f>
        <v>0.9</v>
      </c>
    </row>
    <row r="24" spans="1:2" x14ac:dyDescent="0.2">
      <c r="A24" t="s">
        <v>27</v>
      </c>
      <c r="B24" s="4">
        <f>STDEV(B2:B21)</f>
        <v>1.3337718577107003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F7F2-4AED-9C4A-926E-ED9E3B864440}">
  <dimension ref="A1:F24"/>
  <sheetViews>
    <sheetView workbookViewId="0">
      <selection activeCell="F13" sqref="F13"/>
    </sheetView>
  </sheetViews>
  <sheetFormatPr baseColWidth="10" defaultRowHeight="16" x14ac:dyDescent="0.2"/>
  <sheetData>
    <row r="1" spans="1:6" x14ac:dyDescent="0.2">
      <c r="A1" t="s">
        <v>8</v>
      </c>
      <c r="B1" t="s">
        <v>70</v>
      </c>
    </row>
    <row r="2" spans="1:6" x14ac:dyDescent="0.2">
      <c r="A2" t="s">
        <v>10</v>
      </c>
      <c r="B2" s="6">
        <v>0</v>
      </c>
    </row>
    <row r="3" spans="1:6" x14ac:dyDescent="0.2">
      <c r="A3" t="s">
        <v>1</v>
      </c>
      <c r="B3" s="6">
        <v>0</v>
      </c>
      <c r="E3" t="s">
        <v>51</v>
      </c>
    </row>
    <row r="4" spans="1:6" x14ac:dyDescent="0.2">
      <c r="A4" t="s">
        <v>11</v>
      </c>
      <c r="B4" s="6">
        <v>2</v>
      </c>
    </row>
    <row r="5" spans="1:6" x14ac:dyDescent="0.2">
      <c r="A5" t="s">
        <v>12</v>
      </c>
      <c r="B5" s="6">
        <v>0</v>
      </c>
      <c r="F5" s="5"/>
    </row>
    <row r="6" spans="1:6" x14ac:dyDescent="0.2">
      <c r="A6" t="s">
        <v>4</v>
      </c>
      <c r="B6" s="6">
        <v>4</v>
      </c>
      <c r="E6" s="5" t="s">
        <v>68</v>
      </c>
    </row>
    <row r="7" spans="1:6" x14ac:dyDescent="0.2">
      <c r="A7" t="s">
        <v>13</v>
      </c>
      <c r="B7" s="6">
        <v>0</v>
      </c>
    </row>
    <row r="8" spans="1:6" x14ac:dyDescent="0.2">
      <c r="A8" t="s">
        <v>14</v>
      </c>
      <c r="B8" s="6">
        <v>2</v>
      </c>
    </row>
    <row r="9" spans="1:6" x14ac:dyDescent="0.2">
      <c r="A9" t="s">
        <v>15</v>
      </c>
      <c r="B9" s="6">
        <v>2</v>
      </c>
    </row>
    <row r="10" spans="1:6" x14ac:dyDescent="0.2">
      <c r="A10" t="s">
        <v>5</v>
      </c>
      <c r="B10" s="6">
        <v>4</v>
      </c>
    </row>
    <row r="11" spans="1:6" x14ac:dyDescent="0.2">
      <c r="A11" t="s">
        <v>2</v>
      </c>
      <c r="B11" s="6">
        <v>0</v>
      </c>
    </row>
    <row r="12" spans="1:6" x14ac:dyDescent="0.2">
      <c r="A12" t="s">
        <v>0</v>
      </c>
      <c r="B12" s="6">
        <v>2</v>
      </c>
    </row>
    <row r="13" spans="1:6" x14ac:dyDescent="0.2">
      <c r="A13" t="s">
        <v>16</v>
      </c>
      <c r="B13" s="6">
        <v>2</v>
      </c>
    </row>
    <row r="14" spans="1:6" x14ac:dyDescent="0.2">
      <c r="A14" t="s">
        <v>17</v>
      </c>
      <c r="B14" s="6">
        <v>0</v>
      </c>
    </row>
    <row r="15" spans="1:6" x14ac:dyDescent="0.2">
      <c r="A15" t="s">
        <v>18</v>
      </c>
      <c r="B15" s="6">
        <v>0</v>
      </c>
    </row>
    <row r="16" spans="1:6" x14ac:dyDescent="0.2">
      <c r="A16" t="s">
        <v>19</v>
      </c>
      <c r="B16" s="6">
        <v>0</v>
      </c>
    </row>
    <row r="17" spans="1:2" x14ac:dyDescent="0.2">
      <c r="A17" t="s">
        <v>6</v>
      </c>
      <c r="B17" s="6">
        <v>0</v>
      </c>
    </row>
    <row r="18" spans="1:2" x14ac:dyDescent="0.2">
      <c r="A18" t="s">
        <v>20</v>
      </c>
      <c r="B18" s="6">
        <v>0</v>
      </c>
    </row>
    <row r="19" spans="1:2" x14ac:dyDescent="0.2">
      <c r="A19" t="s">
        <v>3</v>
      </c>
      <c r="B19" s="6">
        <v>0</v>
      </c>
    </row>
    <row r="20" spans="1:2" x14ac:dyDescent="0.2">
      <c r="A20" t="s">
        <v>21</v>
      </c>
      <c r="B20" s="6">
        <v>1</v>
      </c>
    </row>
    <row r="21" spans="1:2" x14ac:dyDescent="0.2">
      <c r="A21" t="s">
        <v>22</v>
      </c>
      <c r="B21" s="6">
        <v>0</v>
      </c>
    </row>
    <row r="22" spans="1:2" x14ac:dyDescent="0.2">
      <c r="B22" s="2"/>
    </row>
    <row r="23" spans="1:2" x14ac:dyDescent="0.2">
      <c r="A23" t="s">
        <v>26</v>
      </c>
      <c r="B23" s="4">
        <f>AVERAGE(B2:B21)</f>
        <v>0.95</v>
      </c>
    </row>
    <row r="24" spans="1:2" x14ac:dyDescent="0.2">
      <c r="A24" t="s">
        <v>27</v>
      </c>
      <c r="B24" s="4">
        <f>STDEV(B2:B21)</f>
        <v>1.3562719801759993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1</vt:i4>
      </vt:variant>
    </vt:vector>
  </HeadingPairs>
  <TitlesOfParts>
    <vt:vector size="43" baseType="lpstr">
      <vt:lpstr>E418_des</vt:lpstr>
      <vt:lpstr>E418_act</vt:lpstr>
      <vt:lpstr>E413_des</vt:lpstr>
      <vt:lpstr>E413_act</vt:lpstr>
      <vt:lpstr>K388_des</vt:lpstr>
      <vt:lpstr>K388_act</vt:lpstr>
      <vt:lpstr>K384_des</vt:lpstr>
      <vt:lpstr>K384_act</vt:lpstr>
      <vt:lpstr>E375_des</vt:lpstr>
      <vt:lpstr>E375_act</vt:lpstr>
      <vt:lpstr>K374_des</vt:lpstr>
      <vt:lpstr>K374_act</vt:lpstr>
      <vt:lpstr>H329_des</vt:lpstr>
      <vt:lpstr>H329_act</vt:lpstr>
      <vt:lpstr>K291_des</vt:lpstr>
      <vt:lpstr>K291_act</vt:lpstr>
      <vt:lpstr>K246_des</vt:lpstr>
      <vt:lpstr>K246_act</vt:lpstr>
      <vt:lpstr>E242_des</vt:lpstr>
      <vt:lpstr>E242_act</vt:lpstr>
      <vt:lpstr>E219_des</vt:lpstr>
      <vt:lpstr>E219_act</vt:lpstr>
      <vt:lpstr>K211_des</vt:lpstr>
      <vt:lpstr>K211_act</vt:lpstr>
      <vt:lpstr>H173_des</vt:lpstr>
      <vt:lpstr>H173_act</vt:lpstr>
      <vt:lpstr>D78_des</vt:lpstr>
      <vt:lpstr>D78_act</vt:lpstr>
      <vt:lpstr>H73_des</vt:lpstr>
      <vt:lpstr>H73_act</vt:lpstr>
      <vt:lpstr>flxb</vt:lpstr>
      <vt:lpstr>size</vt:lpstr>
      <vt:lpstr>kd</vt:lpstr>
      <vt:lpstr>pol</vt:lpstr>
      <vt:lpstr>alpha_hx</vt:lpstr>
      <vt:lpstr>bulky</vt:lpstr>
      <vt:lpstr>surf</vt:lpstr>
      <vt:lpstr>beta</vt:lpstr>
      <vt:lpstr>b_turn</vt:lpstr>
      <vt:lpstr>coil</vt:lpstr>
      <vt:lpstr>h_do</vt:lpstr>
      <vt:lpstr>h_ac</vt:lpstr>
      <vt:lpstr>K246_des!Print_Area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Bignucolo</dc:creator>
  <cp:lastModifiedBy>Olivier Bignucolo</cp:lastModifiedBy>
  <dcterms:created xsi:type="dcterms:W3CDTF">2024-09-06T15:35:54Z</dcterms:created>
  <dcterms:modified xsi:type="dcterms:W3CDTF">2024-12-19T16:18:20Z</dcterms:modified>
</cp:coreProperties>
</file>